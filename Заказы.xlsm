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X\Downloads\Новая папка (17)\"/>
    </mc:Choice>
  </mc:AlternateContent>
  <xr:revisionPtr revIDLastSave="0" documentId="13_ncr:1_{322D599A-49EB-4060-BCEC-9A3CC0D46833}" xr6:coauthVersionLast="47" xr6:coauthVersionMax="47" xr10:uidLastSave="{00000000-0000-0000-0000-000000000000}"/>
  <bookViews>
    <workbookView xWindow="-108" yWindow="-108" windowWidth="30936" windowHeight="16896" tabRatio="634" firstSheet="5" activeTab="10" xr2:uid="{00000000-000D-0000-FFFF-FFFF00000000}"/>
  </bookViews>
  <sheets>
    <sheet name="История закупоку BUYER" sheetId="1" r:id="rId1"/>
    <sheet name="BUYER доставка" sheetId="2" r:id="rId2"/>
    <sheet name="Список товаров" sheetId="15" r:id="rId3"/>
    <sheet name="Обновление цен" sheetId="23" r:id="rId4"/>
    <sheet name="Курсы_валют" sheetId="36" r:id="rId5"/>
    <sheet name="Остатки Ozon Полная" sheetId="16" r:id="rId6"/>
    <sheet name="Стоимости товаров OZON" sheetId="19" r:id="rId7"/>
    <sheet name="Дата минимальной цены" sheetId="20" r:id="rId8"/>
    <sheet name="Обновить цену все" sheetId="21" r:id="rId9"/>
    <sheet name="Обновить нашу цену" sheetId="28" r:id="rId10"/>
    <sheet name="Обновить минимальную цену" sheetId="27" r:id="rId11"/>
    <sheet name="Артикула товаров" sheetId="31" state="hidden" r:id="rId12"/>
    <sheet name="Артикула товаров архив" sheetId="30" state="hidden" r:id="rId13"/>
    <sheet name="Характеристики_товаров" sheetId="33" state="hidden" r:id="rId14"/>
    <sheet name="Характеристики_товаров архив" sheetId="32" state="hidden" r:id="rId15"/>
  </sheets>
  <definedNames>
    <definedName name="_xlnm._FilterDatabase" localSheetId="1" hidden="1">'BUYER доставка'!$A$1:$F$2</definedName>
    <definedName name="_xlnm._FilterDatabase" localSheetId="0" hidden="1">'История закупоку BUYER'!$A$1:$R$142</definedName>
    <definedName name="ExternalData_1" localSheetId="12" hidden="1">'Артикула товаров архив'!$A$1:$B$35</definedName>
    <definedName name="ExternalData_1" localSheetId="7" hidden="1">'Дата минимальной цены'!$L$1:$L$2</definedName>
    <definedName name="ExternalData_1" localSheetId="4" hidden="1">Курсы_валют!$A$1:$F$4</definedName>
    <definedName name="ExternalData_1" localSheetId="10" hidden="1">'Обновить минимальную цену'!$A$1:$F$70</definedName>
    <definedName name="ExternalData_1" localSheetId="5" hidden="1">'Остатки Ozon Полная'!$A$1:$X$218</definedName>
    <definedName name="ExternalData_1" localSheetId="2" hidden="1">'Список товаров'!$A$1:$S$104</definedName>
    <definedName name="ExternalData_1" localSheetId="6" hidden="1">'Стоимости товаров OZON'!$A$1:$AZ$104</definedName>
    <definedName name="ExternalData_2" localSheetId="11" hidden="1">'Артикула товаров'!$A$1:$B$104</definedName>
    <definedName name="ExternalData_2" localSheetId="7" hidden="1">'Дата минимальной цены'!$A$1:$F$104</definedName>
    <definedName name="ExternalData_2" localSheetId="9">'Обновить нашу цену'!$A$1:$F$4</definedName>
    <definedName name="ExternalData_2" localSheetId="14" hidden="1">'Характеристики_товаров архив'!$A$1:$S$35</definedName>
    <definedName name="ExternalData_3" localSheetId="8" hidden="1">'Обновить цену все'!$A$1:$F$4</definedName>
    <definedName name="ExternalData_3" localSheetId="13" hidden="1">Характеристики_товаров!$A$1:$T$104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15" l="1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W2" i="15"/>
  <c r="W3" i="15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W36" i="15"/>
  <c r="W37" i="15"/>
  <c r="W38" i="15"/>
  <c r="W39" i="15"/>
  <c r="W40" i="15"/>
  <c r="W41" i="15"/>
  <c r="W42" i="15"/>
  <c r="W43" i="15"/>
  <c r="W44" i="15"/>
  <c r="W45" i="15"/>
  <c r="W46" i="15"/>
  <c r="W47" i="15"/>
  <c r="W48" i="15"/>
  <c r="W49" i="15"/>
  <c r="W50" i="15"/>
  <c r="W51" i="15"/>
  <c r="W52" i="15"/>
  <c r="W53" i="15"/>
  <c r="W54" i="15"/>
  <c r="W55" i="15"/>
  <c r="W56" i="15"/>
  <c r="W57" i="15"/>
  <c r="W58" i="15"/>
  <c r="W59" i="15"/>
  <c r="W60" i="15"/>
  <c r="W61" i="15"/>
  <c r="W62" i="15"/>
  <c r="W63" i="15"/>
  <c r="W64" i="15"/>
  <c r="W65" i="15"/>
  <c r="W66" i="15"/>
  <c r="W67" i="15"/>
  <c r="W68" i="15"/>
  <c r="W69" i="15"/>
  <c r="W70" i="15"/>
  <c r="W71" i="15"/>
  <c r="W72" i="15"/>
  <c r="W73" i="15"/>
  <c r="W74" i="15"/>
  <c r="W75" i="15"/>
  <c r="W76" i="15"/>
  <c r="W77" i="15"/>
  <c r="W78" i="15"/>
  <c r="W79" i="15"/>
  <c r="W80" i="15"/>
  <c r="W81" i="15"/>
  <c r="W82" i="15"/>
  <c r="W83" i="15"/>
  <c r="W84" i="15"/>
  <c r="W85" i="15"/>
  <c r="W86" i="15"/>
  <c r="W87" i="15"/>
  <c r="W88" i="15"/>
  <c r="W89" i="15"/>
  <c r="W90" i="15"/>
  <c r="W91" i="15"/>
  <c r="W92" i="15"/>
  <c r="W93" i="15"/>
  <c r="W94" i="15"/>
  <c r="W95" i="15"/>
  <c r="W96" i="15"/>
  <c r="W97" i="15"/>
  <c r="W98" i="15"/>
  <c r="W99" i="15"/>
  <c r="W100" i="15"/>
  <c r="W101" i="15"/>
  <c r="W102" i="15"/>
  <c r="W103" i="15"/>
  <c r="W104" i="15"/>
  <c r="I2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4" i="2"/>
  <c r="I25" i="2"/>
  <c r="I26" i="2"/>
  <c r="I27" i="2"/>
  <c r="I28" i="2"/>
  <c r="I29" i="2"/>
  <c r="I30" i="2"/>
  <c r="I31" i="2"/>
  <c r="I32" i="2"/>
  <c r="I33" i="2"/>
  <c r="I34" i="2"/>
  <c r="I35" i="2"/>
  <c r="I2" i="2"/>
  <c r="H2" i="2"/>
  <c r="L33" i="2"/>
  <c r="L34" i="2"/>
  <c r="L35" i="2"/>
  <c r="H33" i="2"/>
  <c r="H34" i="2"/>
  <c r="E24" i="2"/>
  <c r="L24" i="2" s="1"/>
  <c r="E25" i="2"/>
  <c r="L25" i="2" s="1"/>
  <c r="E26" i="2"/>
  <c r="H26" i="2" s="1"/>
  <c r="E27" i="2"/>
  <c r="L27" i="2" s="1"/>
  <c r="E28" i="2"/>
  <c r="L28" i="2" s="1"/>
  <c r="E29" i="2"/>
  <c r="L29" i="2" s="1"/>
  <c r="E30" i="2"/>
  <c r="L30" i="2" s="1"/>
  <c r="E31" i="2"/>
  <c r="L31" i="2" s="1"/>
  <c r="E32" i="2"/>
  <c r="H32" i="2" s="1"/>
  <c r="D23" i="2"/>
  <c r="E23" i="2" s="1"/>
  <c r="H23" i="2" s="1"/>
  <c r="L23" i="2" l="1"/>
  <c r="L32" i="2"/>
  <c r="H31" i="2"/>
  <c r="H30" i="2"/>
  <c r="H29" i="2"/>
  <c r="H28" i="2"/>
  <c r="H27" i="2"/>
  <c r="H25" i="2"/>
  <c r="L26" i="2"/>
  <c r="H24" i="2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N130" i="1" s="1"/>
  <c r="J131" i="1"/>
  <c r="N131" i="1" s="1"/>
  <c r="J132" i="1"/>
  <c r="N132" i="1" s="1"/>
  <c r="J133" i="1"/>
  <c r="N133" i="1" s="1"/>
  <c r="J134" i="1"/>
  <c r="N134" i="1" s="1"/>
  <c r="J135" i="1"/>
  <c r="N135" i="1" s="1"/>
  <c r="J136" i="1"/>
  <c r="N136" i="1" s="1"/>
  <c r="J137" i="1"/>
  <c r="N137" i="1" s="1"/>
  <c r="J138" i="1"/>
  <c r="N138" i="1" s="1"/>
  <c r="J139" i="1"/>
  <c r="N139" i="1" s="1"/>
  <c r="J140" i="1"/>
  <c r="N140" i="1" s="1"/>
  <c r="J141" i="1"/>
  <c r="N141" i="1" s="1"/>
  <c r="J142" i="1"/>
  <c r="N142" i="1" s="1"/>
  <c r="J143" i="1"/>
  <c r="N143" i="1" s="1"/>
  <c r="J144" i="1"/>
  <c r="N144" i="1" s="1"/>
  <c r="J145" i="1"/>
  <c r="N145" i="1" s="1"/>
  <c r="J146" i="1"/>
  <c r="N146" i="1" s="1"/>
  <c r="J147" i="1"/>
  <c r="N147" i="1" s="1"/>
  <c r="J148" i="1"/>
  <c r="N148" i="1" s="1"/>
  <c r="J149" i="1"/>
  <c r="N149" i="1" s="1"/>
  <c r="J150" i="1"/>
  <c r="N150" i="1" s="1"/>
  <c r="J151" i="1"/>
  <c r="N151" i="1" s="1"/>
  <c r="J152" i="1"/>
  <c r="N152" i="1" s="1"/>
  <c r="J153" i="1"/>
  <c r="N153" i="1" s="1"/>
  <c r="J154" i="1"/>
  <c r="N154" i="1" s="1"/>
  <c r="J155" i="1"/>
  <c r="N155" i="1" s="1"/>
  <c r="J156" i="1"/>
  <c r="N156" i="1" s="1"/>
  <c r="J157" i="1"/>
  <c r="N157" i="1" s="1"/>
  <c r="J158" i="1"/>
  <c r="N158" i="1" s="1"/>
  <c r="J159" i="1"/>
  <c r="N159" i="1" s="1"/>
  <c r="J160" i="1"/>
  <c r="N160" i="1" s="1"/>
  <c r="J161" i="1"/>
  <c r="N161" i="1" s="1"/>
  <c r="J162" i="1"/>
  <c r="N162" i="1" s="1"/>
  <c r="J163" i="1"/>
  <c r="N163" i="1" s="1"/>
  <c r="J164" i="1"/>
  <c r="N164" i="1" s="1"/>
  <c r="J165" i="1"/>
  <c r="N165" i="1" s="1"/>
  <c r="J166" i="1"/>
  <c r="N166" i="1" s="1"/>
  <c r="J167" i="1"/>
  <c r="N167" i="1" s="1"/>
  <c r="J168" i="1"/>
  <c r="N168" i="1" s="1"/>
  <c r="J169" i="1"/>
  <c r="N169" i="1" s="1"/>
  <c r="J170" i="1"/>
  <c r="N170" i="1" s="1"/>
  <c r="J171" i="1"/>
  <c r="N171" i="1" s="1"/>
  <c r="J172" i="1"/>
  <c r="N172" i="1" s="1"/>
  <c r="J173" i="1"/>
  <c r="N173" i="1" s="1"/>
  <c r="J174" i="1"/>
  <c r="N174" i="1" s="1"/>
  <c r="J175" i="1"/>
  <c r="N175" i="1" s="1"/>
  <c r="J176" i="1"/>
  <c r="N176" i="1" s="1"/>
  <c r="J177" i="1"/>
  <c r="N177" i="1" s="1"/>
  <c r="J178" i="1"/>
  <c r="N178" i="1" s="1"/>
  <c r="J179" i="1"/>
  <c r="N179" i="1" s="1"/>
  <c r="J180" i="1"/>
  <c r="N180" i="1" s="1"/>
  <c r="J181" i="1"/>
  <c r="J182" i="1"/>
  <c r="N182" i="1" s="1"/>
  <c r="J183" i="1"/>
  <c r="N183" i="1" s="1"/>
  <c r="J184" i="1"/>
  <c r="N184" i="1" s="1"/>
  <c r="J185" i="1"/>
  <c r="N185" i="1" s="1"/>
  <c r="J186" i="1"/>
  <c r="N186" i="1" s="1"/>
  <c r="J187" i="1"/>
  <c r="N187" i="1" s="1"/>
  <c r="J188" i="1"/>
  <c r="N188" i="1" s="1"/>
  <c r="J189" i="1"/>
  <c r="N189" i="1" s="1"/>
  <c r="J190" i="1"/>
  <c r="N190" i="1" s="1"/>
  <c r="J191" i="1"/>
  <c r="N191" i="1" s="1"/>
  <c r="J192" i="1"/>
  <c r="N192" i="1" s="1"/>
  <c r="J193" i="1"/>
  <c r="N193" i="1" s="1"/>
  <c r="J194" i="1"/>
  <c r="N194" i="1" s="1"/>
  <c r="J195" i="1"/>
  <c r="N195" i="1" s="1"/>
  <c r="J196" i="1"/>
  <c r="N196" i="1" s="1"/>
  <c r="J197" i="1"/>
  <c r="N197" i="1" s="1"/>
  <c r="J198" i="1"/>
  <c r="N198" i="1" s="1"/>
  <c r="J199" i="1"/>
  <c r="N199" i="1" s="1"/>
  <c r="J200" i="1"/>
  <c r="N200" i="1" s="1"/>
  <c r="J201" i="1"/>
  <c r="N201" i="1" s="1"/>
  <c r="J202" i="1"/>
  <c r="N202" i="1" s="1"/>
  <c r="J203" i="1"/>
  <c r="N203" i="1" s="1"/>
  <c r="J204" i="1"/>
  <c r="N204" i="1" s="1"/>
  <c r="J205" i="1"/>
  <c r="N205" i="1" s="1"/>
  <c r="J206" i="1"/>
  <c r="N206" i="1" s="1"/>
  <c r="J207" i="1"/>
  <c r="N207" i="1" s="1"/>
  <c r="J208" i="1"/>
  <c r="N208" i="1" s="1"/>
  <c r="J209" i="1"/>
  <c r="N209" i="1" s="1"/>
  <c r="J210" i="1"/>
  <c r="N210" i="1" s="1"/>
  <c r="J211" i="1"/>
  <c r="N211" i="1" s="1"/>
  <c r="J212" i="1"/>
  <c r="N212" i="1" s="1"/>
  <c r="J213" i="1"/>
  <c r="N213" i="1" s="1"/>
  <c r="J214" i="1"/>
  <c r="N214" i="1" s="1"/>
  <c r="J215" i="1"/>
  <c r="N215" i="1" s="1"/>
  <c r="J216" i="1"/>
  <c r="N216" i="1" s="1"/>
  <c r="J217" i="1"/>
  <c r="N217" i="1" s="1"/>
  <c r="J218" i="1"/>
  <c r="N218" i="1" s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130" i="1"/>
  <c r="M130" i="1" s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3" i="1"/>
  <c r="L4" i="1"/>
  <c r="L5" i="1"/>
  <c r="L6" i="1"/>
  <c r="L7" i="1"/>
  <c r="L8" i="1"/>
  <c r="L9" i="1"/>
  <c r="L10" i="1"/>
  <c r="L2" i="1"/>
  <c r="N181" i="1"/>
  <c r="B234" i="1"/>
  <c r="G234" i="1"/>
  <c r="I234" i="1"/>
  <c r="B233" i="1"/>
  <c r="G233" i="1"/>
  <c r="I233" i="1"/>
  <c r="B232" i="1"/>
  <c r="G232" i="1"/>
  <c r="I232" i="1"/>
  <c r="B231" i="1"/>
  <c r="G231" i="1"/>
  <c r="I231" i="1"/>
  <c r="B230" i="1"/>
  <c r="G230" i="1"/>
  <c r="I230" i="1"/>
  <c r="B229" i="1"/>
  <c r="G229" i="1"/>
  <c r="I229" i="1"/>
  <c r="B228" i="1"/>
  <c r="G228" i="1"/>
  <c r="I228" i="1"/>
  <c r="B227" i="1"/>
  <c r="G227" i="1"/>
  <c r="I227" i="1"/>
  <c r="B226" i="1"/>
  <c r="G226" i="1"/>
  <c r="I226" i="1"/>
  <c r="B225" i="1"/>
  <c r="G225" i="1"/>
  <c r="I225" i="1"/>
  <c r="B224" i="1"/>
  <c r="G224" i="1"/>
  <c r="I224" i="1"/>
  <c r="B223" i="1"/>
  <c r="G223" i="1"/>
  <c r="I223" i="1"/>
  <c r="B222" i="1"/>
  <c r="G222" i="1"/>
  <c r="I222" i="1"/>
  <c r="B221" i="1"/>
  <c r="G221" i="1"/>
  <c r="I221" i="1"/>
  <c r="B220" i="1"/>
  <c r="G220" i="1"/>
  <c r="I220" i="1"/>
  <c r="B219" i="1"/>
  <c r="G219" i="1"/>
  <c r="I219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B209" i="1"/>
  <c r="B210" i="1"/>
  <c r="B211" i="1"/>
  <c r="B212" i="1"/>
  <c r="B213" i="1"/>
  <c r="B214" i="1"/>
  <c r="B215" i="1"/>
  <c r="B216" i="1"/>
  <c r="B217" i="1"/>
  <c r="B218" i="1"/>
  <c r="G209" i="1"/>
  <c r="G210" i="1"/>
  <c r="G211" i="1"/>
  <c r="G212" i="1"/>
  <c r="G213" i="1"/>
  <c r="G214" i="1"/>
  <c r="G215" i="1"/>
  <c r="G216" i="1"/>
  <c r="G217" i="1"/>
  <c r="G218" i="1"/>
  <c r="I209" i="1"/>
  <c r="I210" i="1"/>
  <c r="I211" i="1"/>
  <c r="I212" i="1"/>
  <c r="I213" i="1"/>
  <c r="I214" i="1"/>
  <c r="I215" i="1"/>
  <c r="I216" i="1"/>
  <c r="I217" i="1"/>
  <c r="I218" i="1"/>
  <c r="B208" i="1"/>
  <c r="G208" i="1"/>
  <c r="I208" i="1"/>
  <c r="B207" i="1"/>
  <c r="G207" i="1"/>
  <c r="I207" i="1"/>
  <c r="B206" i="1"/>
  <c r="G206" i="1"/>
  <c r="I206" i="1"/>
  <c r="B205" i="1"/>
  <c r="G205" i="1"/>
  <c r="I205" i="1"/>
  <c r="B204" i="1"/>
  <c r="G204" i="1"/>
  <c r="I204" i="1"/>
  <c r="B203" i="1"/>
  <c r="G203" i="1"/>
  <c r="I203" i="1"/>
  <c r="B202" i="1"/>
  <c r="G202" i="1"/>
  <c r="I202" i="1"/>
  <c r="B201" i="1"/>
  <c r="G201" i="1"/>
  <c r="I201" i="1"/>
  <c r="B200" i="1"/>
  <c r="G200" i="1"/>
  <c r="I200" i="1"/>
  <c r="B199" i="1"/>
  <c r="G199" i="1"/>
  <c r="I199" i="1"/>
  <c r="B198" i="1"/>
  <c r="G198" i="1"/>
  <c r="I198" i="1"/>
  <c r="B197" i="1"/>
  <c r="G197" i="1"/>
  <c r="I197" i="1"/>
  <c r="B196" i="1"/>
  <c r="G196" i="1"/>
  <c r="I196" i="1"/>
  <c r="B195" i="1"/>
  <c r="G195" i="1"/>
  <c r="I195" i="1"/>
  <c r="B194" i="1"/>
  <c r="G194" i="1"/>
  <c r="I194" i="1"/>
  <c r="B193" i="1"/>
  <c r="G193" i="1"/>
  <c r="I193" i="1"/>
  <c r="B192" i="1"/>
  <c r="G192" i="1"/>
  <c r="I192" i="1"/>
  <c r="B191" i="1"/>
  <c r="G191" i="1"/>
  <c r="I191" i="1"/>
  <c r="B190" i="1"/>
  <c r="G190" i="1"/>
  <c r="I190" i="1"/>
  <c r="B189" i="1"/>
  <c r="G189" i="1"/>
  <c r="I189" i="1"/>
  <c r="B188" i="1"/>
  <c r="G188" i="1"/>
  <c r="I188" i="1"/>
  <c r="B187" i="1"/>
  <c r="G187" i="1"/>
  <c r="I187" i="1"/>
  <c r="B186" i="1"/>
  <c r="G186" i="1"/>
  <c r="I186" i="1"/>
  <c r="B185" i="1"/>
  <c r="G185" i="1"/>
  <c r="I185" i="1"/>
  <c r="B184" i="1"/>
  <c r="G184" i="1"/>
  <c r="I184" i="1"/>
  <c r="B183" i="1"/>
  <c r="G183" i="1"/>
  <c r="I183" i="1"/>
  <c r="B182" i="1"/>
  <c r="G182" i="1"/>
  <c r="I182" i="1"/>
  <c r="B181" i="1"/>
  <c r="G181" i="1"/>
  <c r="I181" i="1"/>
  <c r="B180" i="1"/>
  <c r="G180" i="1"/>
  <c r="I180" i="1"/>
  <c r="B179" i="1"/>
  <c r="G179" i="1"/>
  <c r="I179" i="1"/>
  <c r="B178" i="1"/>
  <c r="G178" i="1"/>
  <c r="I178" i="1"/>
  <c r="B177" i="1"/>
  <c r="G177" i="1"/>
  <c r="I177" i="1"/>
  <c r="B176" i="1"/>
  <c r="G176" i="1"/>
  <c r="I176" i="1"/>
  <c r="B175" i="1"/>
  <c r="G175" i="1"/>
  <c r="I175" i="1"/>
  <c r="P174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B174" i="1"/>
  <c r="I174" i="1"/>
  <c r="K16" i="23"/>
  <c r="F95" i="23"/>
  <c r="F96" i="23"/>
  <c r="F97" i="23"/>
  <c r="F98" i="23"/>
  <c r="F99" i="23"/>
  <c r="F100" i="23"/>
  <c r="F101" i="23"/>
  <c r="F102" i="23"/>
  <c r="F103" i="23"/>
  <c r="F104" i="23"/>
  <c r="G95" i="23"/>
  <c r="G96" i="23"/>
  <c r="G97" i="23"/>
  <c r="G98" i="23"/>
  <c r="G99" i="23"/>
  <c r="G100" i="23"/>
  <c r="G101" i="23"/>
  <c r="G102" i="23"/>
  <c r="G103" i="23"/>
  <c r="G104" i="23"/>
  <c r="J95" i="23"/>
  <c r="J96" i="23"/>
  <c r="J97" i="23"/>
  <c r="J98" i="23"/>
  <c r="J99" i="23"/>
  <c r="J100" i="23"/>
  <c r="J101" i="23"/>
  <c r="J102" i="23"/>
  <c r="J103" i="23"/>
  <c r="J104" i="23"/>
  <c r="K95" i="23"/>
  <c r="K96" i="23"/>
  <c r="K97" i="23"/>
  <c r="K98" i="23"/>
  <c r="K99" i="23"/>
  <c r="K100" i="23"/>
  <c r="K101" i="23"/>
  <c r="K102" i="23"/>
  <c r="K103" i="23"/>
  <c r="K104" i="23"/>
  <c r="L95" i="23"/>
  <c r="L96" i="23"/>
  <c r="L97" i="23"/>
  <c r="L98" i="23"/>
  <c r="L99" i="23"/>
  <c r="L100" i="23"/>
  <c r="L101" i="23"/>
  <c r="L102" i="23"/>
  <c r="L103" i="23"/>
  <c r="L104" i="23"/>
  <c r="M95" i="23"/>
  <c r="M96" i="23"/>
  <c r="M97" i="23"/>
  <c r="M98" i="23"/>
  <c r="M99" i="23"/>
  <c r="M100" i="23"/>
  <c r="M101" i="23"/>
  <c r="M102" i="23"/>
  <c r="M103" i="23"/>
  <c r="M104" i="23"/>
  <c r="N95" i="23"/>
  <c r="N96" i="23"/>
  <c r="N97" i="23"/>
  <c r="N98" i="23"/>
  <c r="N99" i="23"/>
  <c r="N100" i="23"/>
  <c r="N101" i="23"/>
  <c r="N102" i="23"/>
  <c r="N103" i="23"/>
  <c r="N104" i="23"/>
  <c r="E22" i="2"/>
  <c r="L22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32" i="1"/>
  <c r="P133" i="1"/>
  <c r="P134" i="1"/>
  <c r="P135" i="1"/>
  <c r="P136" i="1"/>
  <c r="P137" i="1"/>
  <c r="P138" i="1"/>
  <c r="P139" i="1"/>
  <c r="P140" i="1"/>
  <c r="P141" i="1"/>
  <c r="P142" i="1"/>
  <c r="B165" i="1"/>
  <c r="B166" i="1"/>
  <c r="B167" i="1"/>
  <c r="B168" i="1"/>
  <c r="B169" i="1"/>
  <c r="B170" i="1"/>
  <c r="B171" i="1"/>
  <c r="B172" i="1"/>
  <c r="B17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K2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72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72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N2" i="23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N72" i="23"/>
  <c r="N50" i="23"/>
  <c r="N51" i="23"/>
  <c r="N52" i="23"/>
  <c r="N53" i="23"/>
  <c r="N54" i="23"/>
  <c r="N55" i="23"/>
  <c r="N56" i="23"/>
  <c r="N57" i="23"/>
  <c r="N58" i="23"/>
  <c r="N59" i="23"/>
  <c r="N60" i="23"/>
  <c r="N61" i="23"/>
  <c r="N62" i="23"/>
  <c r="N63" i="23"/>
  <c r="N64" i="23"/>
  <c r="N65" i="23"/>
  <c r="N66" i="23"/>
  <c r="N67" i="23"/>
  <c r="N68" i="23"/>
  <c r="N69" i="23"/>
  <c r="N70" i="23"/>
  <c r="N71" i="23"/>
  <c r="N73" i="23"/>
  <c r="N74" i="23"/>
  <c r="N75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72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J2" i="23"/>
  <c r="J3" i="23"/>
  <c r="J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72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72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M2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72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V110" i="19"/>
  <c r="V109" i="19"/>
  <c r="Q213" i="1" l="1"/>
  <c r="R213" i="1" s="1"/>
  <c r="Q212" i="1"/>
  <c r="Q211" i="1"/>
  <c r="R211" i="1" s="1"/>
  <c r="Q218" i="1"/>
  <c r="R218" i="1" s="1"/>
  <c r="Q217" i="1"/>
  <c r="R217" i="1" s="1"/>
  <c r="Q216" i="1"/>
  <c r="R216" i="1" s="1"/>
  <c r="Q215" i="1"/>
  <c r="R215" i="1" s="1"/>
  <c r="Q214" i="1"/>
  <c r="R214" i="1" s="1"/>
  <c r="Q201" i="1"/>
  <c r="R201" i="1" s="1"/>
  <c r="Q189" i="1"/>
  <c r="R189" i="1" s="1"/>
  <c r="Q177" i="1"/>
  <c r="R177" i="1" s="1"/>
  <c r="Q200" i="1"/>
  <c r="R200" i="1" s="1"/>
  <c r="Q188" i="1"/>
  <c r="R188" i="1" s="1"/>
  <c r="Q176" i="1"/>
  <c r="R176" i="1" s="1"/>
  <c r="Q199" i="1"/>
  <c r="R199" i="1" s="1"/>
  <c r="Q187" i="1"/>
  <c r="R187" i="1" s="1"/>
  <c r="Q175" i="1"/>
  <c r="R175" i="1" s="1"/>
  <c r="Q210" i="1"/>
  <c r="R210" i="1" s="1"/>
  <c r="Q198" i="1"/>
  <c r="R198" i="1" s="1"/>
  <c r="Q186" i="1"/>
  <c r="R186" i="1" s="1"/>
  <c r="Q209" i="1"/>
  <c r="R209" i="1" s="1"/>
  <c r="Q197" i="1"/>
  <c r="R197" i="1" s="1"/>
  <c r="Q185" i="1"/>
  <c r="R185" i="1" s="1"/>
  <c r="Q208" i="1"/>
  <c r="R208" i="1" s="1"/>
  <c r="Q196" i="1"/>
  <c r="R196" i="1" s="1"/>
  <c r="Q184" i="1"/>
  <c r="R184" i="1" s="1"/>
  <c r="Q207" i="1"/>
  <c r="R207" i="1" s="1"/>
  <c r="Q195" i="1"/>
  <c r="R195" i="1" s="1"/>
  <c r="Q183" i="1"/>
  <c r="R183" i="1" s="1"/>
  <c r="Q206" i="1"/>
  <c r="R206" i="1" s="1"/>
  <c r="Q194" i="1"/>
  <c r="R194" i="1" s="1"/>
  <c r="Q182" i="1"/>
  <c r="R182" i="1" s="1"/>
  <c r="Q205" i="1"/>
  <c r="R205" i="1" s="1"/>
  <c r="Q193" i="1"/>
  <c r="R193" i="1" s="1"/>
  <c r="Q181" i="1"/>
  <c r="R181" i="1" s="1"/>
  <c r="Q204" i="1"/>
  <c r="R204" i="1" s="1"/>
  <c r="Q192" i="1"/>
  <c r="R192" i="1" s="1"/>
  <c r="Q180" i="1"/>
  <c r="R180" i="1" s="1"/>
  <c r="Q203" i="1"/>
  <c r="R203" i="1" s="1"/>
  <c r="Q191" i="1"/>
  <c r="R191" i="1" s="1"/>
  <c r="Q179" i="1"/>
  <c r="R179" i="1" s="1"/>
  <c r="Q202" i="1"/>
  <c r="R202" i="1" s="1"/>
  <c r="Q190" i="1"/>
  <c r="R190" i="1" s="1"/>
  <c r="Q178" i="1"/>
  <c r="R178" i="1" s="1"/>
  <c r="R212" i="1"/>
  <c r="M186" i="1"/>
  <c r="M198" i="1"/>
  <c r="M177" i="1"/>
  <c r="M189" i="1"/>
  <c r="M201" i="1"/>
  <c r="M162" i="1"/>
  <c r="M150" i="1"/>
  <c r="M138" i="1"/>
  <c r="M173" i="1"/>
  <c r="M161" i="1"/>
  <c r="M149" i="1"/>
  <c r="M137" i="1"/>
  <c r="M174" i="1"/>
  <c r="M185" i="1"/>
  <c r="M197" i="1"/>
  <c r="M167" i="1"/>
  <c r="M155" i="1"/>
  <c r="M143" i="1"/>
  <c r="M131" i="1"/>
  <c r="M119" i="1"/>
  <c r="M107" i="1"/>
  <c r="M95" i="1"/>
  <c r="M83" i="1"/>
  <c r="M71" i="1"/>
  <c r="M59" i="1"/>
  <c r="M47" i="1"/>
  <c r="M35" i="1"/>
  <c r="M23" i="1"/>
  <c r="M11" i="1"/>
  <c r="M70" i="1"/>
  <c r="M58" i="1"/>
  <c r="M46" i="1"/>
  <c r="M34" i="1"/>
  <c r="M22" i="1"/>
  <c r="M165" i="1"/>
  <c r="M153" i="1"/>
  <c r="M141" i="1"/>
  <c r="M69" i="1"/>
  <c r="M57" i="1"/>
  <c r="M45" i="1"/>
  <c r="M33" i="1"/>
  <c r="M21" i="1"/>
  <c r="M128" i="1"/>
  <c r="M116" i="1"/>
  <c r="M104" i="1"/>
  <c r="M92" i="1"/>
  <c r="M80" i="1"/>
  <c r="M184" i="1"/>
  <c r="M196" i="1"/>
  <c r="M208" i="1"/>
  <c r="M209" i="1"/>
  <c r="M126" i="1"/>
  <c r="M114" i="1"/>
  <c r="M102" i="1"/>
  <c r="M90" i="1"/>
  <c r="M78" i="1"/>
  <c r="M66" i="1"/>
  <c r="M54" i="1"/>
  <c r="M30" i="1"/>
  <c r="M18" i="1"/>
  <c r="M216" i="1"/>
  <c r="M125" i="1"/>
  <c r="M113" i="1"/>
  <c r="M101" i="1"/>
  <c r="M89" i="1"/>
  <c r="M77" i="1"/>
  <c r="M65" i="1"/>
  <c r="M53" i="1"/>
  <c r="M29" i="1"/>
  <c r="M17" i="1"/>
  <c r="M182" i="1"/>
  <c r="M194" i="1"/>
  <c r="M206" i="1"/>
  <c r="M172" i="1"/>
  <c r="M160" i="1"/>
  <c r="M148" i="1"/>
  <c r="M136" i="1"/>
  <c r="M124" i="1"/>
  <c r="M112" i="1"/>
  <c r="M100" i="1"/>
  <c r="M88" i="1"/>
  <c r="M76" i="1"/>
  <c r="M64" i="1"/>
  <c r="M52" i="1"/>
  <c r="M28" i="1"/>
  <c r="M16" i="1"/>
  <c r="M171" i="1"/>
  <c r="M159" i="1"/>
  <c r="M147" i="1"/>
  <c r="M135" i="1"/>
  <c r="M123" i="1"/>
  <c r="M111" i="1"/>
  <c r="M99" i="1"/>
  <c r="M87" i="1"/>
  <c r="M75" i="1"/>
  <c r="M63" i="1"/>
  <c r="M51" i="1"/>
  <c r="M27" i="1"/>
  <c r="M15" i="1"/>
  <c r="M213" i="1"/>
  <c r="M170" i="1"/>
  <c r="M158" i="1"/>
  <c r="M146" i="1"/>
  <c r="M134" i="1"/>
  <c r="M122" i="1"/>
  <c r="M110" i="1"/>
  <c r="M98" i="1"/>
  <c r="M86" i="1"/>
  <c r="M74" i="1"/>
  <c r="M62" i="1"/>
  <c r="M50" i="1"/>
  <c r="M26" i="1"/>
  <c r="M14" i="1"/>
  <c r="M179" i="1"/>
  <c r="M183" i="1"/>
  <c r="M191" i="1"/>
  <c r="M195" i="1"/>
  <c r="M203" i="1"/>
  <c r="M207" i="1"/>
  <c r="M169" i="1"/>
  <c r="M157" i="1"/>
  <c r="M145" i="1"/>
  <c r="M133" i="1"/>
  <c r="M121" i="1"/>
  <c r="M109" i="1"/>
  <c r="M97" i="1"/>
  <c r="M85" i="1"/>
  <c r="M73" i="1"/>
  <c r="M61" i="1"/>
  <c r="M49" i="1"/>
  <c r="M25" i="1"/>
  <c r="M13" i="1"/>
  <c r="M211" i="1"/>
  <c r="M168" i="1"/>
  <c r="M156" i="1"/>
  <c r="M144" i="1"/>
  <c r="M132" i="1"/>
  <c r="M120" i="1"/>
  <c r="M108" i="1"/>
  <c r="M96" i="1"/>
  <c r="M84" i="1"/>
  <c r="M72" i="1"/>
  <c r="M60" i="1"/>
  <c r="M48" i="1"/>
  <c r="M36" i="1"/>
  <c r="M24" i="1"/>
  <c r="M12" i="1"/>
  <c r="M210" i="1"/>
  <c r="M180" i="1"/>
  <c r="M192" i="1"/>
  <c r="M204" i="1"/>
  <c r="M68" i="1"/>
  <c r="M56" i="1"/>
  <c r="M44" i="1"/>
  <c r="M32" i="1"/>
  <c r="M181" i="1"/>
  <c r="M193" i="1"/>
  <c r="M205" i="1"/>
  <c r="M218" i="1"/>
  <c r="M127" i="1"/>
  <c r="M115" i="1"/>
  <c r="M103" i="1"/>
  <c r="M91" i="1"/>
  <c r="M79" i="1"/>
  <c r="M67" i="1"/>
  <c r="M55" i="1"/>
  <c r="M43" i="1"/>
  <c r="M31" i="1"/>
  <c r="M19" i="1"/>
  <c r="M217" i="1"/>
  <c r="M166" i="1"/>
  <c r="M154" i="1"/>
  <c r="M142" i="1"/>
  <c r="M175" i="1"/>
  <c r="M187" i="1"/>
  <c r="M199" i="1"/>
  <c r="M212" i="1"/>
  <c r="M164" i="1"/>
  <c r="M152" i="1"/>
  <c r="M140" i="1"/>
  <c r="M163" i="1"/>
  <c r="M151" i="1"/>
  <c r="M139" i="1"/>
  <c r="M176" i="1"/>
  <c r="M188" i="1"/>
  <c r="M200" i="1"/>
  <c r="M178" i="1"/>
  <c r="M190" i="1"/>
  <c r="M202" i="1"/>
  <c r="M215" i="1"/>
  <c r="M214" i="1"/>
  <c r="M118" i="1"/>
  <c r="M106" i="1"/>
  <c r="M94" i="1"/>
  <c r="M82" i="1"/>
  <c r="M129" i="1"/>
  <c r="M117" i="1"/>
  <c r="M105" i="1"/>
  <c r="M93" i="1"/>
  <c r="M81" i="1"/>
  <c r="H22" i="2"/>
  <c r="P120" i="1"/>
  <c r="N120" i="1"/>
  <c r="B120" i="1"/>
  <c r="E21" i="2"/>
  <c r="L21" i="2" s="1"/>
  <c r="E20" i="2"/>
  <c r="H20" i="2" s="1"/>
  <c r="L20" i="2"/>
  <c r="P130" i="1"/>
  <c r="P131" i="1"/>
  <c r="Q131" i="1" s="1"/>
  <c r="R131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1" i="1"/>
  <c r="P122" i="1"/>
  <c r="P123" i="1"/>
  <c r="P124" i="1"/>
  <c r="P125" i="1"/>
  <c r="P126" i="1"/>
  <c r="P127" i="1"/>
  <c r="P128" i="1"/>
  <c r="P129" i="1"/>
  <c r="P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2" i="1"/>
  <c r="E19" i="2"/>
  <c r="H19" i="2" s="1"/>
  <c r="E18" i="2"/>
  <c r="L18" i="2" s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1" i="1"/>
  <c r="N122" i="1"/>
  <c r="N123" i="1"/>
  <c r="N124" i="1"/>
  <c r="N125" i="1"/>
  <c r="N126" i="1"/>
  <c r="N127" i="1"/>
  <c r="N128" i="1"/>
  <c r="N129" i="1"/>
  <c r="N71" i="1"/>
  <c r="Q132" i="1" l="1"/>
  <c r="R132" i="1" s="1"/>
  <c r="Q164" i="1"/>
  <c r="R164" i="1" s="1"/>
  <c r="Q174" i="1"/>
  <c r="R174" i="1" s="1"/>
  <c r="Q150" i="1"/>
  <c r="R150" i="1" s="1"/>
  <c r="Q138" i="1"/>
  <c r="R138" i="1" s="1"/>
  <c r="Q171" i="1"/>
  <c r="R171" i="1" s="1"/>
  <c r="Q162" i="1"/>
  <c r="R162" i="1" s="1"/>
  <c r="Q152" i="1"/>
  <c r="R152" i="1" s="1"/>
  <c r="Q163" i="1"/>
  <c r="R163" i="1" s="1"/>
  <c r="Q134" i="1"/>
  <c r="R134" i="1" s="1"/>
  <c r="Q147" i="1"/>
  <c r="R147" i="1" s="1"/>
  <c r="Q166" i="1"/>
  <c r="R166" i="1" s="1"/>
  <c r="Q117" i="1"/>
  <c r="R117" i="1" s="1"/>
  <c r="Q105" i="1"/>
  <c r="R105" i="1" s="1"/>
  <c r="Q116" i="1"/>
  <c r="R116" i="1" s="1"/>
  <c r="Q153" i="1"/>
  <c r="R153" i="1" s="1"/>
  <c r="Q165" i="1"/>
  <c r="R165" i="1" s="1"/>
  <c r="Q135" i="1"/>
  <c r="R135" i="1" s="1"/>
  <c r="Q154" i="1"/>
  <c r="R154" i="1" s="1"/>
  <c r="Q144" i="1"/>
  <c r="R144" i="1" s="1"/>
  <c r="Q146" i="1"/>
  <c r="R146" i="1" s="1"/>
  <c r="Q158" i="1"/>
  <c r="R158" i="1" s="1"/>
  <c r="Q151" i="1"/>
  <c r="R151" i="1" s="1"/>
  <c r="Q142" i="1"/>
  <c r="R142" i="1" s="1"/>
  <c r="Q148" i="1"/>
  <c r="R148" i="1" s="1"/>
  <c r="Q136" i="1"/>
  <c r="R136" i="1" s="1"/>
  <c r="Q145" i="1"/>
  <c r="R145" i="1" s="1"/>
  <c r="Q157" i="1"/>
  <c r="R157" i="1" s="1"/>
  <c r="Q170" i="1"/>
  <c r="R170" i="1" s="1"/>
  <c r="Q129" i="1"/>
  <c r="R129" i="1" s="1"/>
  <c r="Q104" i="1"/>
  <c r="R104" i="1" s="1"/>
  <c r="Q92" i="1"/>
  <c r="R92" i="1" s="1"/>
  <c r="Q80" i="1"/>
  <c r="R80" i="1" s="1"/>
  <c r="Q128" i="1"/>
  <c r="R128" i="1" s="1"/>
  <c r="Q115" i="1"/>
  <c r="R115" i="1" s="1"/>
  <c r="Q103" i="1"/>
  <c r="R103" i="1" s="1"/>
  <c r="Q91" i="1"/>
  <c r="R91" i="1" s="1"/>
  <c r="Q79" i="1"/>
  <c r="R79" i="1" s="1"/>
  <c r="Q120" i="1"/>
  <c r="R120" i="1" s="1"/>
  <c r="Q114" i="1"/>
  <c r="R114" i="1" s="1"/>
  <c r="Q90" i="1"/>
  <c r="R90" i="1" s="1"/>
  <c r="Q126" i="1"/>
  <c r="R126" i="1" s="1"/>
  <c r="Q101" i="1"/>
  <c r="R101" i="1" s="1"/>
  <c r="Q77" i="1"/>
  <c r="R77" i="1" s="1"/>
  <c r="Q100" i="1"/>
  <c r="R100" i="1" s="1"/>
  <c r="Q124" i="1"/>
  <c r="R124" i="1" s="1"/>
  <c r="Q111" i="1"/>
  <c r="R111" i="1" s="1"/>
  <c r="Q99" i="1"/>
  <c r="R99" i="1" s="1"/>
  <c r="Q87" i="1"/>
  <c r="R87" i="1" s="1"/>
  <c r="Q75" i="1"/>
  <c r="R75" i="1" s="1"/>
  <c r="Q143" i="1"/>
  <c r="R143" i="1" s="1"/>
  <c r="Q155" i="1"/>
  <c r="R155" i="1" s="1"/>
  <c r="Q169" i="1"/>
  <c r="R169" i="1" s="1"/>
  <c r="Q159" i="1"/>
  <c r="R159" i="1" s="1"/>
  <c r="Q140" i="1"/>
  <c r="R140" i="1" s="1"/>
  <c r="Q93" i="1"/>
  <c r="R93" i="1" s="1"/>
  <c r="Q81" i="1"/>
  <c r="R81" i="1" s="1"/>
  <c r="Q125" i="1"/>
  <c r="R125" i="1" s="1"/>
  <c r="Q88" i="1"/>
  <c r="R88" i="1" s="1"/>
  <c r="Q123" i="1"/>
  <c r="R123" i="1" s="1"/>
  <c r="Q110" i="1"/>
  <c r="R110" i="1" s="1"/>
  <c r="Q98" i="1"/>
  <c r="R98" i="1" s="1"/>
  <c r="Q86" i="1"/>
  <c r="R86" i="1" s="1"/>
  <c r="Q74" i="1"/>
  <c r="R74" i="1" s="1"/>
  <c r="Q133" i="1"/>
  <c r="R133" i="1" s="1"/>
  <c r="Q167" i="1"/>
  <c r="R167" i="1" s="1"/>
  <c r="Q137" i="1"/>
  <c r="R137" i="1" s="1"/>
  <c r="Q139" i="1"/>
  <c r="R139" i="1" s="1"/>
  <c r="Q160" i="1"/>
  <c r="R160" i="1" s="1"/>
  <c r="Q127" i="1"/>
  <c r="R127" i="1" s="1"/>
  <c r="Q102" i="1"/>
  <c r="R102" i="1" s="1"/>
  <c r="Q78" i="1"/>
  <c r="R78" i="1" s="1"/>
  <c r="Q113" i="1"/>
  <c r="R113" i="1" s="1"/>
  <c r="Q89" i="1"/>
  <c r="R89" i="1" s="1"/>
  <c r="Q122" i="1"/>
  <c r="R122" i="1" s="1"/>
  <c r="Q109" i="1"/>
  <c r="R109" i="1" s="1"/>
  <c r="Q97" i="1"/>
  <c r="R97" i="1" s="1"/>
  <c r="Q85" i="1"/>
  <c r="R85" i="1" s="1"/>
  <c r="Q73" i="1"/>
  <c r="R73" i="1" s="1"/>
  <c r="Q156" i="1"/>
  <c r="R156" i="1" s="1"/>
  <c r="Q168" i="1"/>
  <c r="R168" i="1" s="1"/>
  <c r="Q141" i="1"/>
  <c r="R141" i="1" s="1"/>
  <c r="Q112" i="1"/>
  <c r="R112" i="1" s="1"/>
  <c r="Q76" i="1"/>
  <c r="R76" i="1" s="1"/>
  <c r="Q121" i="1"/>
  <c r="R121" i="1" s="1"/>
  <c r="Q108" i="1"/>
  <c r="R108" i="1" s="1"/>
  <c r="Q96" i="1"/>
  <c r="R96" i="1" s="1"/>
  <c r="Q72" i="1"/>
  <c r="R72" i="1" s="1"/>
  <c r="Q149" i="1"/>
  <c r="R149" i="1" s="1"/>
  <c r="Q161" i="1"/>
  <c r="R161" i="1" s="1"/>
  <c r="Q172" i="1"/>
  <c r="R172" i="1" s="1"/>
  <c r="Q173" i="1"/>
  <c r="R173" i="1" s="1"/>
  <c r="Q119" i="1"/>
  <c r="R119" i="1" s="1"/>
  <c r="Q107" i="1"/>
  <c r="R107" i="1" s="1"/>
  <c r="Q95" i="1"/>
  <c r="R95" i="1" s="1"/>
  <c r="Q83" i="1"/>
  <c r="R83" i="1" s="1"/>
  <c r="Q71" i="1"/>
  <c r="R71" i="1" s="1"/>
  <c r="Q118" i="1"/>
  <c r="R118" i="1" s="1"/>
  <c r="Q106" i="1"/>
  <c r="R106" i="1" s="1"/>
  <c r="Q94" i="1"/>
  <c r="R94" i="1" s="1"/>
  <c r="Q82" i="1"/>
  <c r="R82" i="1" s="1"/>
  <c r="H18" i="2"/>
  <c r="H21" i="2"/>
  <c r="L19" i="2"/>
  <c r="Q84" i="1" s="1"/>
  <c r="R84" i="1" s="1"/>
  <c r="E17" i="2"/>
  <c r="H17" i="2" s="1"/>
  <c r="L17" i="2" l="1"/>
  <c r="Q70" i="1" s="1"/>
  <c r="E16" i="2"/>
  <c r="L16" i="2" s="1"/>
  <c r="E15" i="2"/>
  <c r="L15" i="2" s="1"/>
  <c r="E14" i="2"/>
  <c r="H14" i="2" s="1"/>
  <c r="E13" i="2"/>
  <c r="H13" i="2" s="1"/>
  <c r="E12" i="2"/>
  <c r="L12" i="2" s="1"/>
  <c r="Q36" i="1" s="1"/>
  <c r="E11" i="2"/>
  <c r="H11" i="2" s="1"/>
  <c r="E10" i="2"/>
  <c r="H10" i="2" s="1"/>
  <c r="E9" i="2"/>
  <c r="L9" i="2" s="1"/>
  <c r="Q33" i="1" s="1"/>
  <c r="E8" i="2"/>
  <c r="L8" i="2" s="1"/>
  <c r="E7" i="2"/>
  <c r="L7" i="2" s="1"/>
  <c r="E6" i="2"/>
  <c r="H6" i="2" s="1"/>
  <c r="E5" i="2"/>
  <c r="L5" i="2" s="1"/>
  <c r="E4" i="2"/>
  <c r="L4" i="2" s="1"/>
  <c r="L3" i="2"/>
  <c r="H3" i="2"/>
  <c r="L2" i="2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K42" i="1"/>
  <c r="K41" i="1"/>
  <c r="K40" i="1"/>
  <c r="K39" i="1"/>
  <c r="K38" i="1"/>
  <c r="K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K20" i="1"/>
  <c r="N19" i="1"/>
  <c r="N18" i="1"/>
  <c r="N17" i="1"/>
  <c r="N16" i="1"/>
  <c r="N15" i="1"/>
  <c r="K14" i="1"/>
  <c r="N14" i="1" s="1"/>
  <c r="K13" i="1"/>
  <c r="N13" i="1" s="1"/>
  <c r="K12" i="1"/>
  <c r="N12" i="1" s="1"/>
  <c r="K11" i="1"/>
  <c r="N11" i="1" s="1"/>
  <c r="N10" i="1"/>
  <c r="N9" i="1"/>
  <c r="N8" i="1"/>
  <c r="N7" i="1"/>
  <c r="N6" i="1"/>
  <c r="N5" i="1"/>
  <c r="N4" i="1"/>
  <c r="N3" i="1"/>
  <c r="N2" i="1"/>
  <c r="H15" i="2" l="1"/>
  <c r="H16" i="2"/>
  <c r="Q52" i="1"/>
  <c r="R52" i="1" s="1"/>
  <c r="Q46" i="1"/>
  <c r="R46" i="1" s="1"/>
  <c r="Q60" i="1"/>
  <c r="R60" i="1" s="1"/>
  <c r="Q58" i="1"/>
  <c r="R58" i="1" s="1"/>
  <c r="Q56" i="1"/>
  <c r="R56" i="1" s="1"/>
  <c r="Q130" i="1"/>
  <c r="R130" i="1" s="1"/>
  <c r="Q57" i="1"/>
  <c r="R57" i="1" s="1"/>
  <c r="Q44" i="1"/>
  <c r="R44" i="1" s="1"/>
  <c r="Q48" i="1"/>
  <c r="R48" i="1" s="1"/>
  <c r="Q59" i="1"/>
  <c r="R59" i="1" s="1"/>
  <c r="Q49" i="1"/>
  <c r="Q47" i="1"/>
  <c r="R47" i="1" s="1"/>
  <c r="Q64" i="1"/>
  <c r="R64" i="1" s="1"/>
  <c r="Q61" i="1"/>
  <c r="R61" i="1" s="1"/>
  <c r="Q63" i="1"/>
  <c r="R63" i="1" s="1"/>
  <c r="Q62" i="1"/>
  <c r="R62" i="1" s="1"/>
  <c r="Q51" i="1"/>
  <c r="R51" i="1" s="1"/>
  <c r="Q45" i="1"/>
  <c r="R45" i="1" s="1"/>
  <c r="Q50" i="1"/>
  <c r="R50" i="1" s="1"/>
  <c r="Q54" i="1"/>
  <c r="R54" i="1" s="1"/>
  <c r="Q53" i="1"/>
  <c r="R53" i="1" s="1"/>
  <c r="Q55" i="1"/>
  <c r="R55" i="1" s="1"/>
  <c r="R70" i="1"/>
  <c r="R36" i="1"/>
  <c r="Q7" i="1"/>
  <c r="R7" i="1" s="1"/>
  <c r="Q8" i="1"/>
  <c r="R8" i="1" s="1"/>
  <c r="Q20" i="1"/>
  <c r="Q21" i="1"/>
  <c r="R21" i="1" s="1"/>
  <c r="R49" i="1"/>
  <c r="Q3" i="1"/>
  <c r="R3" i="1" s="1"/>
  <c r="Q2" i="1"/>
  <c r="R2" i="1" s="1"/>
  <c r="Q4" i="1"/>
  <c r="R4" i="1" s="1"/>
  <c r="Q5" i="1"/>
  <c r="R5" i="1" s="1"/>
  <c r="Q10" i="1"/>
  <c r="R10" i="1" s="1"/>
  <c r="Q6" i="1"/>
  <c r="R6" i="1" s="1"/>
  <c r="Q9" i="1"/>
  <c r="R9" i="1" s="1"/>
  <c r="Q17" i="1"/>
  <c r="R17" i="1" s="1"/>
  <c r="Q19" i="1"/>
  <c r="R19" i="1" s="1"/>
  <c r="Q18" i="1"/>
  <c r="R18" i="1" s="1"/>
  <c r="Q16" i="1"/>
  <c r="R16" i="1" s="1"/>
  <c r="Q15" i="1"/>
  <c r="R15" i="1" s="1"/>
  <c r="R33" i="1"/>
  <c r="Q68" i="1"/>
  <c r="R68" i="1" s="1"/>
  <c r="Q69" i="1"/>
  <c r="R69" i="1" s="1"/>
  <c r="Q25" i="1"/>
  <c r="R25" i="1" s="1"/>
  <c r="Q22" i="1"/>
  <c r="R22" i="1" s="1"/>
  <c r="Q24" i="1"/>
  <c r="R24" i="1" s="1"/>
  <c r="Q23" i="1"/>
  <c r="R23" i="1" s="1"/>
  <c r="M20" i="1"/>
  <c r="N20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H5" i="2"/>
  <c r="L13" i="2"/>
  <c r="H7" i="2"/>
  <c r="L11" i="2"/>
  <c r="L10" i="2"/>
  <c r="H4" i="2"/>
  <c r="H9" i="2"/>
  <c r="L14" i="2"/>
  <c r="L6" i="2"/>
  <c r="H12" i="2"/>
  <c r="H8" i="2"/>
  <c r="R20" i="1" l="1"/>
  <c r="Q43" i="1"/>
  <c r="R43" i="1" s="1"/>
  <c r="Q65" i="1"/>
  <c r="R65" i="1" s="1"/>
  <c r="Q67" i="1"/>
  <c r="R67" i="1" s="1"/>
  <c r="Q66" i="1"/>
  <c r="R66" i="1" s="1"/>
  <c r="Q34" i="1"/>
  <c r="R34" i="1" s="1"/>
  <c r="Q35" i="1"/>
  <c r="R35" i="1" s="1"/>
  <c r="Q37" i="1"/>
  <c r="R37" i="1" s="1"/>
  <c r="Q42" i="1"/>
  <c r="R42" i="1" s="1"/>
  <c r="Q38" i="1"/>
  <c r="R38" i="1" s="1"/>
  <c r="Q40" i="1"/>
  <c r="R40" i="1" s="1"/>
  <c r="Q39" i="1"/>
  <c r="R39" i="1" s="1"/>
  <c r="Q41" i="1"/>
  <c r="R41" i="1" s="1"/>
  <c r="Q11" i="1"/>
  <c r="R11" i="1" s="1"/>
  <c r="Q13" i="1"/>
  <c r="R13" i="1" s="1"/>
  <c r="Q14" i="1"/>
  <c r="R14" i="1" s="1"/>
  <c r="Q12" i="1"/>
  <c r="R12" i="1" s="1"/>
  <c r="Q31" i="1"/>
  <c r="R31" i="1" s="1"/>
  <c r="Q29" i="1"/>
  <c r="R29" i="1" s="1"/>
  <c r="Q32" i="1"/>
  <c r="R32" i="1" s="1"/>
  <c r="Q26" i="1"/>
  <c r="R26" i="1" s="1"/>
  <c r="Q30" i="1"/>
  <c r="R30" i="1" s="1"/>
  <c r="Q27" i="1"/>
  <c r="R27" i="1" s="1"/>
  <c r="Q28" i="1"/>
  <c r="R28" i="1" s="1"/>
  <c r="T2" i="15" l="1" a="1"/>
  <c r="T2" i="15" s="1"/>
  <c r="U2" i="15" s="1"/>
  <c r="T7" i="15" a="1"/>
  <c r="T7" i="15" s="1"/>
  <c r="U7" i="15" s="1"/>
  <c r="T74" i="15" a="1"/>
  <c r="T74" i="15" s="1"/>
  <c r="U74" i="15" s="1"/>
  <c r="T14" i="15" a="1"/>
  <c r="T14" i="15" s="1"/>
  <c r="U14" i="15" s="1"/>
  <c r="T91" i="15" a="1"/>
  <c r="T91" i="15" s="1"/>
  <c r="U91" i="15" s="1"/>
  <c r="T60" i="15" a="1"/>
  <c r="T60" i="15" s="1"/>
  <c r="U60" i="15" s="1"/>
  <c r="T24" i="15" a="1"/>
  <c r="T24" i="15" s="1"/>
  <c r="U24" i="15" s="1"/>
  <c r="T59" i="15" a="1"/>
  <c r="T59" i="15" s="1"/>
  <c r="U59" i="15" s="1"/>
  <c r="T34" i="15" a="1"/>
  <c r="T34" i="15" s="1"/>
  <c r="U34" i="15" s="1"/>
  <c r="T93" i="15" a="1"/>
  <c r="T93" i="15" s="1"/>
  <c r="U93" i="15" s="1"/>
  <c r="T51" i="15" a="1"/>
  <c r="T51" i="15" s="1"/>
  <c r="U51" i="15" s="1"/>
  <c r="T8" i="15" a="1"/>
  <c r="T8" i="15" s="1"/>
  <c r="U8" i="15" s="1"/>
  <c r="T79" i="15" a="1"/>
  <c r="T79" i="15" s="1"/>
  <c r="U79" i="15" s="1"/>
  <c r="T48" i="15" a="1"/>
  <c r="T48" i="15" s="1"/>
  <c r="U48" i="15" s="1"/>
  <c r="T12" i="15" a="1"/>
  <c r="T12" i="15" s="1"/>
  <c r="U12" i="15" s="1"/>
  <c r="T53" i="15" a="1"/>
  <c r="T53" i="15" s="1"/>
  <c r="U53" i="15" s="1"/>
  <c r="T22" i="15" a="1"/>
  <c r="T22" i="15" s="1"/>
  <c r="U22" i="15" s="1"/>
  <c r="T81" i="15" a="1"/>
  <c r="T81" i="15" s="1"/>
  <c r="U81" i="15" s="1"/>
  <c r="T33" i="15" a="1"/>
  <c r="T33" i="15" s="1"/>
  <c r="U33" i="15" s="1"/>
  <c r="T26" i="15" a="1"/>
  <c r="T26" i="15" s="1"/>
  <c r="U26" i="15" s="1"/>
  <c r="T92" i="15" a="1"/>
  <c r="T92" i="15" s="1"/>
  <c r="U92" i="15" s="1"/>
  <c r="T67" i="15" a="1"/>
  <c r="T67" i="15" s="1"/>
  <c r="U67" i="15" s="1"/>
  <c r="T42" i="15" a="1"/>
  <c r="T42" i="15" s="1"/>
  <c r="U42" i="15" s="1"/>
  <c r="T89" i="15" a="1"/>
  <c r="T89" i="15" s="1"/>
  <c r="U89" i="15" s="1"/>
  <c r="T41" i="15" a="1"/>
  <c r="T41" i="15" s="1"/>
  <c r="U41" i="15" s="1"/>
  <c r="T4" i="15" a="1"/>
  <c r="T4" i="15" s="1"/>
  <c r="U4" i="15" s="1"/>
  <c r="T69" i="15" a="1"/>
  <c r="T69" i="15" s="1"/>
  <c r="U69" i="15" s="1"/>
  <c r="T21" i="15" a="1"/>
  <c r="T21" i="15" s="1"/>
  <c r="U21" i="15" s="1"/>
  <c r="T103" i="15" a="1"/>
  <c r="T103" i="15" s="1"/>
  <c r="U103" i="15" s="1"/>
  <c r="T97" i="15" a="1"/>
  <c r="T97" i="15" s="1"/>
  <c r="U97" i="15" s="1"/>
  <c r="T55" i="15" a="1"/>
  <c r="T55" i="15" s="1"/>
  <c r="U55" i="15" s="1"/>
  <c r="T30" i="15" a="1"/>
  <c r="T30" i="15" s="1"/>
  <c r="U30" i="15" s="1"/>
  <c r="T77" i="15" a="1"/>
  <c r="T77" i="15" s="1"/>
  <c r="U77" i="15" s="1"/>
  <c r="T29" i="15" a="1"/>
  <c r="T29" i="15" s="1"/>
  <c r="U29" i="15" s="1"/>
  <c r="T100" i="15" a="1"/>
  <c r="T100" i="15" s="1"/>
  <c r="U100" i="15" s="1"/>
  <c r="T57" i="15" a="1"/>
  <c r="T57" i="15" s="1"/>
  <c r="U57" i="15" s="1"/>
  <c r="T9" i="15" a="1"/>
  <c r="T9" i="15" s="1"/>
  <c r="U9" i="15" s="1"/>
  <c r="T85" i="15" a="1"/>
  <c r="T85" i="15" s="1"/>
  <c r="U85" i="15" s="1"/>
  <c r="T43" i="15" a="1"/>
  <c r="T43" i="15" s="1"/>
  <c r="U43" i="15" s="1"/>
  <c r="T18" i="15" a="1"/>
  <c r="T18" i="15" s="1"/>
  <c r="U18" i="15" s="1"/>
  <c r="T65" i="15" a="1"/>
  <c r="T65" i="15" s="1"/>
  <c r="U65" i="15" s="1"/>
  <c r="T17" i="15" a="1"/>
  <c r="T17" i="15" s="1"/>
  <c r="U17" i="15" s="1"/>
  <c r="T88" i="15" a="1"/>
  <c r="T88" i="15" s="1"/>
  <c r="U88" i="15" s="1"/>
  <c r="T45" i="15" a="1"/>
  <c r="T45" i="15" s="1"/>
  <c r="U45" i="15" s="1"/>
  <c r="T98" i="15" a="1"/>
  <c r="T98" i="15" s="1"/>
  <c r="U98" i="15" s="1"/>
  <c r="T73" i="15" a="1"/>
  <c r="T73" i="15" s="1"/>
  <c r="U73" i="15" s="1"/>
  <c r="T31" i="15" a="1"/>
  <c r="T31" i="15" s="1"/>
  <c r="U31" i="15" s="1"/>
  <c r="T6" i="15" a="1"/>
  <c r="T6" i="15" s="1"/>
  <c r="U6" i="15" s="1"/>
  <c r="T47" i="15" a="1"/>
  <c r="T47" i="15" s="1"/>
  <c r="U47" i="15" s="1"/>
  <c r="T11" i="15" a="1"/>
  <c r="T11" i="15" s="1"/>
  <c r="U11" i="15" s="1"/>
  <c r="T76" i="15" a="1"/>
  <c r="T76" i="15" s="1"/>
  <c r="U76" i="15" s="1"/>
  <c r="T39" i="15" a="1"/>
  <c r="T39" i="15" s="1"/>
  <c r="U39" i="15" s="1"/>
  <c r="T80" i="15" a="1"/>
  <c r="T80" i="15" s="1"/>
  <c r="U80" i="15" s="1"/>
  <c r="T86" i="15" a="1"/>
  <c r="T86" i="15" s="1"/>
  <c r="U86" i="15" s="1"/>
  <c r="T61" i="15" a="1"/>
  <c r="T61" i="15" s="1"/>
  <c r="U61" i="15" s="1"/>
  <c r="T19" i="15" a="1"/>
  <c r="T19" i="15" s="1"/>
  <c r="U19" i="15" s="1"/>
  <c r="T102" i="15" a="1"/>
  <c r="T102" i="15" s="1"/>
  <c r="U102" i="15" s="1"/>
  <c r="T35" i="15" a="1"/>
  <c r="T35" i="15" s="1"/>
  <c r="U35" i="15" s="1"/>
  <c r="T95" i="15" a="1"/>
  <c r="T95" i="15" s="1"/>
  <c r="U95" i="15" s="1"/>
  <c r="T64" i="15" a="1"/>
  <c r="T64" i="15" s="1"/>
  <c r="U64" i="15" s="1"/>
  <c r="T27" i="15" a="1"/>
  <c r="T27" i="15" s="1"/>
  <c r="U27" i="15" s="1"/>
  <c r="T68" i="15" a="1"/>
  <c r="T68" i="15" s="1"/>
  <c r="U68" i="15" s="1"/>
  <c r="T104" i="15" a="1"/>
  <c r="T104" i="15" s="1"/>
  <c r="U104" i="15" s="1"/>
  <c r="T49" i="15" a="1"/>
  <c r="T49" i="15" s="1"/>
  <c r="U49" i="15" s="1"/>
  <c r="T13" i="15" a="1"/>
  <c r="T13" i="15" s="1"/>
  <c r="U13" i="15" s="1"/>
  <c r="T90" i="15" a="1"/>
  <c r="T90" i="15" s="1"/>
  <c r="U90" i="15" s="1"/>
  <c r="T23" i="15" a="1"/>
  <c r="T23" i="15" s="1"/>
  <c r="U23" i="15" s="1"/>
  <c r="T94" i="15" a="1"/>
  <c r="T94" i="15" s="1"/>
  <c r="U94" i="15" s="1"/>
  <c r="T52" i="15" a="1"/>
  <c r="T52" i="15" s="1"/>
  <c r="U52" i="15" s="1"/>
  <c r="T15" i="15" a="1"/>
  <c r="T15" i="15" s="1"/>
  <c r="U15" i="15" s="1"/>
  <c r="T56" i="15" a="1"/>
  <c r="T56" i="15" s="1"/>
  <c r="U56" i="15" s="1"/>
  <c r="T62" i="15" a="1"/>
  <c r="T62" i="15" s="1"/>
  <c r="U62" i="15" s="1"/>
  <c r="T37" i="15" a="1"/>
  <c r="T37" i="15" s="1"/>
  <c r="U37" i="15" s="1"/>
  <c r="I37" i="23" s="1"/>
  <c r="O37" i="23" s="1"/>
  <c r="T99" i="15" a="1"/>
  <c r="T99" i="15" s="1"/>
  <c r="U99" i="15" s="1"/>
  <c r="I101" i="23" s="1"/>
  <c r="O101" i="23" s="1"/>
  <c r="T78" i="15" a="1"/>
  <c r="T78" i="15" s="1"/>
  <c r="U78" i="15" s="1"/>
  <c r="I80" i="23" s="1"/>
  <c r="O80" i="23" s="1"/>
  <c r="T5" i="15" a="1"/>
  <c r="T5" i="15" s="1"/>
  <c r="U5" i="15" s="1"/>
  <c r="T82" i="15" a="1"/>
  <c r="T82" i="15" s="1"/>
  <c r="U82" i="15" s="1"/>
  <c r="T40" i="15" a="1"/>
  <c r="T40" i="15" s="1"/>
  <c r="U40" i="15" s="1"/>
  <c r="T3" i="15" a="1"/>
  <c r="T3" i="15" s="1"/>
  <c r="U3" i="15" s="1"/>
  <c r="I3" i="23" s="1"/>
  <c r="O3" i="23" s="1"/>
  <c r="T44" i="15" a="1"/>
  <c r="T44" i="15" s="1"/>
  <c r="U44" i="15" s="1"/>
  <c r="I44" i="23" s="1"/>
  <c r="O44" i="23" s="1"/>
  <c r="T50" i="15" a="1"/>
  <c r="T50" i="15" s="1"/>
  <c r="U50" i="15" s="1"/>
  <c r="I50" i="23" s="1"/>
  <c r="O50" i="23" s="1"/>
  <c r="T25" i="15" a="1"/>
  <c r="T25" i="15" s="1"/>
  <c r="U25" i="15" s="1"/>
  <c r="I25" i="23" s="1"/>
  <c r="O25" i="23" s="1"/>
  <c r="T96" i="15" a="1"/>
  <c r="T96" i="15" s="1"/>
  <c r="U96" i="15" s="1"/>
  <c r="T66" i="15" a="1"/>
  <c r="T66" i="15" s="1"/>
  <c r="U66" i="15" s="1"/>
  <c r="T101" i="15" a="1"/>
  <c r="T101" i="15" s="1"/>
  <c r="U101" i="15" s="1"/>
  <c r="I103" i="23" s="1"/>
  <c r="O103" i="23" s="1"/>
  <c r="T70" i="15" a="1"/>
  <c r="T70" i="15" s="1"/>
  <c r="U70" i="15" s="1"/>
  <c r="I70" i="23" s="1"/>
  <c r="O70" i="23" s="1"/>
  <c r="T28" i="15" a="1"/>
  <c r="T28" i="15" s="1"/>
  <c r="U28" i="15" s="1"/>
  <c r="I28" i="23" s="1"/>
  <c r="O28" i="23" s="1"/>
  <c r="T87" i="15" a="1"/>
  <c r="T87" i="15" s="1"/>
  <c r="U87" i="15" s="1"/>
  <c r="I89" i="23" s="1"/>
  <c r="O89" i="23" s="1"/>
  <c r="T32" i="15" a="1"/>
  <c r="T32" i="15" s="1"/>
  <c r="U32" i="15" s="1"/>
  <c r="I32" i="23" s="1"/>
  <c r="O32" i="23" s="1"/>
  <c r="T38" i="15" a="1"/>
  <c r="T38" i="15" s="1"/>
  <c r="U38" i="15" s="1"/>
  <c r="I38" i="23" s="1"/>
  <c r="O38" i="23" s="1"/>
  <c r="T84" i="15" a="1"/>
  <c r="T84" i="15" s="1"/>
  <c r="U84" i="15" s="1"/>
  <c r="I86" i="23" s="1"/>
  <c r="O86" i="23" s="1"/>
  <c r="T54" i="15" a="1"/>
  <c r="T54" i="15" s="1"/>
  <c r="U54" i="15" s="1"/>
  <c r="I54" i="23" s="1"/>
  <c r="O54" i="23" s="1"/>
  <c r="T83" i="15" a="1"/>
  <c r="T83" i="15" s="1"/>
  <c r="U83" i="15" s="1"/>
  <c r="I85" i="23" s="1"/>
  <c r="O85" i="23" s="1"/>
  <c r="T58" i="15" a="1"/>
  <c r="T58" i="15" s="1"/>
  <c r="U58" i="15" s="1"/>
  <c r="I58" i="23" s="1"/>
  <c r="O58" i="23" s="1"/>
  <c r="T16" i="15" a="1"/>
  <c r="T16" i="15" s="1"/>
  <c r="U16" i="15" s="1"/>
  <c r="I16" i="23" s="1"/>
  <c r="O16" i="23" s="1"/>
  <c r="T75" i="15" a="1"/>
  <c r="T75" i="15" s="1"/>
  <c r="U75" i="15" s="1"/>
  <c r="I77" i="23" s="1"/>
  <c r="O77" i="23" s="1"/>
  <c r="T20" i="15" a="1"/>
  <c r="T20" i="15" s="1"/>
  <c r="U20" i="15" s="1"/>
  <c r="I20" i="23" s="1"/>
  <c r="O20" i="23" s="1"/>
  <c r="T72" i="15" a="1"/>
  <c r="T72" i="15" s="1"/>
  <c r="U72" i="15" s="1"/>
  <c r="I74" i="23" s="1"/>
  <c r="O74" i="23" s="1"/>
  <c r="T36" i="15" a="1"/>
  <c r="T36" i="15" s="1"/>
  <c r="U36" i="15" s="1"/>
  <c r="I36" i="23" s="1"/>
  <c r="O36" i="23" s="1"/>
  <c r="T71" i="15" a="1"/>
  <c r="T71" i="15" s="1"/>
  <c r="U71" i="15" s="1"/>
  <c r="I73" i="23" s="1"/>
  <c r="O73" i="23" s="1"/>
  <c r="T46" i="15" a="1"/>
  <c r="T46" i="15" s="1"/>
  <c r="U46" i="15" s="1"/>
  <c r="I46" i="23" s="1"/>
  <c r="O46" i="23" s="1"/>
  <c r="T10" i="15" a="1"/>
  <c r="T10" i="15" s="1"/>
  <c r="U10" i="15" s="1"/>
  <c r="I10" i="23" s="1"/>
  <c r="O10" i="23" s="1"/>
  <c r="T63" i="15" a="1"/>
  <c r="T63" i="15" s="1"/>
  <c r="U63" i="15" s="1"/>
  <c r="I63" i="23" s="1"/>
  <c r="O63" i="23" s="1"/>
  <c r="I31" i="23"/>
  <c r="O31" i="23" s="1"/>
  <c r="I98" i="23"/>
  <c r="O98" i="23" s="1"/>
  <c r="I60" i="23"/>
  <c r="O60" i="23" s="1"/>
  <c r="I48" i="23"/>
  <c r="O48" i="23" s="1"/>
  <c r="I83" i="23"/>
  <c r="O83" i="23" s="1"/>
  <c r="I91" i="23"/>
  <c r="O91" i="23" s="1"/>
  <c r="I69" i="23"/>
  <c r="O69" i="23" s="1"/>
  <c r="I66" i="23"/>
  <c r="O66" i="23" s="1"/>
  <c r="I24" i="23"/>
  <c r="O24" i="23" s="1"/>
  <c r="I79" i="23"/>
  <c r="O79" i="23" s="1"/>
  <c r="I34" i="23"/>
  <c r="O34" i="23" s="1"/>
  <c r="I95" i="23"/>
  <c r="O95" i="23" s="1"/>
  <c r="I57" i="23"/>
  <c r="O57" i="23" s="1"/>
  <c r="I30" i="23"/>
  <c r="O30" i="23" s="1"/>
  <c r="I64" i="23"/>
  <c r="O64" i="23" s="1"/>
  <c r="I22" i="23"/>
  <c r="O22" i="23" s="1"/>
  <c r="I18" i="23"/>
  <c r="O18" i="23" s="1"/>
  <c r="I52" i="23"/>
  <c r="O52" i="23" s="1"/>
  <c r="I5" i="23"/>
  <c r="O5" i="23" s="1"/>
  <c r="I7" i="23"/>
  <c r="O7" i="23" s="1"/>
  <c r="I65" i="23"/>
  <c r="O65" i="23" s="1"/>
  <c r="I13" i="23"/>
  <c r="O13" i="23" s="1"/>
  <c r="I40" i="23"/>
  <c r="O40" i="23" s="1"/>
  <c r="I99" i="23"/>
  <c r="O99" i="23" s="1"/>
  <c r="I12" i="23"/>
  <c r="O12" i="23" s="1"/>
  <c r="I72" i="23"/>
  <c r="O72" i="23" s="1"/>
  <c r="I93" i="23"/>
  <c r="O93" i="23" s="1"/>
  <c r="I100" i="23"/>
  <c r="O100" i="23" s="1"/>
  <c r="I26" i="23"/>
  <c r="O26" i="23" s="1"/>
  <c r="I81" i="23"/>
  <c r="O81" i="23" s="1"/>
  <c r="I42" i="23"/>
  <c r="O42" i="23" s="1"/>
  <c r="I14" i="23"/>
  <c r="O14" i="23" s="1"/>
  <c r="I67" i="23"/>
  <c r="O67" i="23" s="1"/>
  <c r="I97" i="23"/>
  <c r="O97" i="23" s="1"/>
  <c r="I59" i="23"/>
  <c r="O59" i="23" s="1"/>
  <c r="I4" i="23"/>
  <c r="O4" i="23" s="1"/>
  <c r="I45" i="23"/>
  <c r="O45" i="23" s="1"/>
  <c r="I92" i="23"/>
  <c r="O92" i="23" s="1"/>
  <c r="I104" i="23"/>
  <c r="O104" i="23" s="1"/>
  <c r="I71" i="23"/>
  <c r="O71" i="23" s="1"/>
  <c r="I51" i="23"/>
  <c r="O51" i="23" s="1"/>
  <c r="I8" i="23"/>
  <c r="O8" i="23" s="1"/>
  <c r="I41" i="23"/>
  <c r="O41" i="23" s="1"/>
  <c r="I29" i="23"/>
  <c r="O29" i="23" s="1"/>
  <c r="I23" i="23"/>
  <c r="O23" i="23" s="1"/>
  <c r="I43" i="23"/>
  <c r="O43" i="23" s="1"/>
  <c r="I90" i="23"/>
  <c r="O90" i="23" s="1"/>
  <c r="I61" i="23"/>
  <c r="O61" i="23" s="1"/>
  <c r="I11" i="23"/>
  <c r="O11" i="23" s="1"/>
  <c r="I56" i="23"/>
  <c r="O56" i="23" s="1"/>
  <c r="I35" i="23"/>
  <c r="O35" i="23" s="1"/>
  <c r="I62" i="23"/>
  <c r="O62" i="23" s="1"/>
  <c r="I49" i="23"/>
  <c r="O49" i="23" s="1"/>
  <c r="I55" i="23"/>
  <c r="O55" i="23" s="1"/>
  <c r="I27" i="23"/>
  <c r="O27" i="23" s="1"/>
  <c r="I88" i="23"/>
  <c r="O88" i="23" s="1"/>
  <c r="I19" i="23"/>
  <c r="O19" i="23" s="1"/>
  <c r="I76" i="23"/>
  <c r="O76" i="23" s="1"/>
  <c r="I6" i="23"/>
  <c r="O6" i="23" s="1"/>
  <c r="I68" i="23"/>
  <c r="O68" i="23" s="1"/>
  <c r="I102" i="23"/>
  <c r="O102" i="23" s="1"/>
  <c r="I39" i="23"/>
  <c r="O39" i="23" s="1"/>
  <c r="I21" i="23"/>
  <c r="O21" i="23" s="1"/>
  <c r="I94" i="23"/>
  <c r="O94" i="23" s="1"/>
  <c r="I96" i="23"/>
  <c r="O96" i="23" s="1"/>
  <c r="I33" i="23"/>
  <c r="O33" i="23" s="1"/>
  <c r="I82" i="23"/>
  <c r="O82" i="23" s="1"/>
  <c r="I53" i="23"/>
  <c r="O53" i="23" s="1"/>
  <c r="I84" i="23"/>
  <c r="O84" i="23" s="1"/>
  <c r="I87" i="23"/>
  <c r="O87" i="23" s="1"/>
  <c r="I75" i="23"/>
  <c r="O75" i="23" s="1"/>
  <c r="I17" i="23"/>
  <c r="O17" i="23" s="1"/>
  <c r="I78" i="23"/>
  <c r="O78" i="23" s="1"/>
  <c r="I2" i="23"/>
  <c r="O2" i="23" s="1"/>
  <c r="I9" i="23"/>
  <c r="O9" i="23" s="1"/>
  <c r="I47" i="23"/>
  <c r="O47" i="23" s="1"/>
  <c r="I15" i="23"/>
  <c r="O1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FX</author>
  </authors>
  <commentList>
    <comment ref="D169" authorId="0" shapeId="0" xr:uid="{9088E2F1-280E-4B83-9865-DA5C115BBB8E}">
      <text>
        <r>
          <rPr>
            <b/>
            <sz val="9"/>
            <color indexed="81"/>
            <rFont val="Tahoma"/>
            <family val="2"/>
            <charset val="204"/>
          </rPr>
          <t>FX:</t>
        </r>
        <r>
          <rPr>
            <sz val="9"/>
            <color indexed="81"/>
            <rFont val="Tahoma"/>
            <family val="2"/>
            <charset val="204"/>
          </rPr>
          <t xml:space="preserve">
Закали 5, но положили другие (46 sku). Поставил цифру один что бы ничего не сломалось</t>
        </r>
      </text>
    </comment>
    <comment ref="D174" authorId="0" shapeId="0" xr:uid="{050E1787-7ECB-48F7-B279-00A2181013AA}">
      <text>
        <r>
          <rPr>
            <b/>
            <sz val="9"/>
            <color indexed="81"/>
            <rFont val="Tahoma"/>
            <family val="2"/>
            <charset val="204"/>
          </rPr>
          <t>FX:</t>
        </r>
        <r>
          <rPr>
            <sz val="9"/>
            <color indexed="81"/>
            <rFont val="Tahoma"/>
            <family val="2"/>
            <charset val="204"/>
          </rPr>
          <t xml:space="preserve">
не заказывали положи ошиблись из 64 арт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FX</author>
  </authors>
  <commentList>
    <comment ref="A1" authorId="0" shapeId="0" xr:uid="{7F9DC452-0A13-4A56-A8C5-3318185830B3}">
      <text>
        <r>
          <rPr>
            <b/>
            <sz val="9"/>
            <color indexed="81"/>
            <rFont val="Tahoma"/>
            <family val="2"/>
            <charset val="204"/>
          </rPr>
          <t>FX:</t>
        </r>
        <r>
          <rPr>
            <sz val="9"/>
            <color indexed="81"/>
            <rFont val="Tahoma"/>
            <family val="2"/>
            <charset val="204"/>
          </rPr>
          <t xml:space="preserve">
Запрос из Power Query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7064AA-AEB1-4D2B-97C9-E611FA8BCE18}" keepAlive="1" name="Запрос — Аналитика по остаткам" description="Соединение с запросом &quot;Аналитика по остаткам&quot; в книге." type="5" refreshedVersion="7" background="1" refreshOnLoad="1" saveData="1">
    <dbPr connection="Provider=Microsoft.Mashup.OleDb.1;Data Source=$Workbook$;Location=&quot;Аналитика по остаткам&quot;;Extended Properties=&quot;&quot;" command="SELECT * FROM [Аналитика по остаткам]"/>
  </connection>
  <connection id="2" xr16:uid="{331B8A11-FA0B-450D-AC27-B45B6F2DE1FA}" keepAlive="1" name="Запрос — Артикула товаров" description="Соединение с запросом &quot;Артикула товаров&quot; в книге." type="5" refreshedVersion="7" background="1" saveData="1">
    <dbPr connection="Provider=Microsoft.Mashup.OleDb.1;Data Source=$Workbook$;Location=&quot;Артикула товаров&quot;;Extended Properties=&quot;&quot;" command="SELECT * FROM [Артикула товаров]"/>
  </connection>
  <connection id="3" xr16:uid="{39FC6D9B-47E9-45ED-97F3-5A24F674A403}" keepAlive="1" name="Запрос — Артикула товаров архив" description="Соединение с запросом &quot;Артикула товаров архив&quot; в книге." type="5" refreshedVersion="7" background="1" saveData="1">
    <dbPr connection="Provider=Microsoft.Mashup.OleDb.1;Data Source=$Workbook$;Location=&quot;Артикула товаров архив&quot;;Extended Properties=&quot;&quot;" command="SELECT * FROM [Артикула товаров архив]"/>
  </connection>
  <connection id="4" xr16:uid="{C349D262-3FEC-46C9-9FC0-76945E52C9C3}" keepAlive="1" name="Запрос — Дата минимальной цены" description="Соединение с запросом &quot;Дата минимальной цены&quot; в книге." type="5" refreshedVersion="7" background="1" saveData="1">
    <dbPr connection="Provider=Microsoft.Mashup.OleDb.1;Data Source=$Workbook$;Location=&quot;Дата минимальной цены&quot;;Extended Properties=&quot;&quot;" command="SELECT * FROM [Дата минимальной цены]"/>
  </connection>
  <connection id="5" xr16:uid="{4375D2CD-EA86-417B-9602-6B67F0DC4CCC}" keepAlive="1" name="Запрос — Курсы_валют" description="Соединение с запросом &quot;Курсы_валют&quot; в книге." type="5" refreshedVersion="7" background="1" saveData="1">
    <dbPr connection="Provider=Microsoft.Mashup.OleDb.1;Data Source=$Workbook$;Location=Курсы_валют;Extended Properties=&quot;&quot;" command="SELECT * FROM [Курсы_валют]"/>
  </connection>
  <connection id="6" xr16:uid="{5C5A5AA5-4551-49C6-AE42-1E27F2F05AEA}" keepAlive="1" name="Запрос — Обновить все цены" description="Соединение с запросом &quot;Обновить все цены&quot; в книге." type="5" refreshedVersion="7" background="1" saveData="1">
    <dbPr connection="Provider=Microsoft.Mashup.OleDb.1;Data Source=$Workbook$;Location=&quot;Обновить все цены&quot;;Extended Properties=&quot;&quot;" command="SELECT * FROM [Обновить все цены]"/>
  </connection>
  <connection id="7" xr16:uid="{DEBCBA4C-3159-4F1C-8496-101A3243F3C5}" keepAlive="1" name="Запрос — Обновить нашу цену" type="5" refreshedVersion="7" deleted="1" background="1" saveData="1">
    <dbPr connection="" command=""/>
  </connection>
  <connection id="8" xr16:uid="{5B4EC0D1-7725-40F2-8538-BAC86E0AB025}" keepAlive="1" name="Запрос — Обновить срок минимальную цену" description="Соединение с запросом &quot;Обновить срок минимальную цену&quot; в книге." type="5" refreshedVersion="7" background="1" saveData="1">
    <dbPr connection="Provider=Microsoft.Mashup.OleDb.1;Data Source=$Workbook$;Location=&quot;Обновить срок минимальную цену&quot;;Extended Properties=&quot;&quot;" command="SELECT * FROM [Обновить срок минимальную цену]"/>
  </connection>
  <connection id="9" xr16:uid="{470E346F-0183-42C7-816D-AB09121F6A93}" keepAlive="1" name="Запрос — Список товар API" description="Соединение с запросом &quot;Список товар API&quot; в книге." type="5" refreshedVersion="7" background="1" saveData="1">
    <dbPr connection="Provider=Microsoft.Mashup.OleDb.1;Data Source=$Workbook$;Location=&quot;Список товар API&quot;;Extended Properties=&quot;&quot;" command="SELECT * FROM [Список товар API]"/>
  </connection>
  <connection id="10" xr16:uid="{B7BF8EEE-4979-46BD-8CF5-8E0D79648172}" keepAlive="1" name="Запрос — Характеристики_товаров" description="Соединение с запросом &quot;Характеристики_товаров&quot; в книге." type="5" refreshedVersion="7" background="1" saveData="1">
    <dbPr connection="Provider=Microsoft.Mashup.OleDb.1;Data Source=$Workbook$;Location=Характеристики_товаров;Extended Properties=&quot;&quot;" command="SELECT * FROM [Характеристики_товаров]"/>
  </connection>
  <connection id="11" xr16:uid="{03586029-03E4-4A82-BD52-01EE0B8F0E92}" keepAlive="1" name="Запрос — Характеристики_товаров архив" description="Соединение с запросом &quot;Характеристики_товаров архив&quot; в книге." type="5" refreshedVersion="7" background="1" saveData="1">
    <dbPr connection="Provider=Microsoft.Mashup.OleDb.1;Data Source=$Workbook$;Location=&quot;Характеристики_товаров архив&quot;;Extended Properties=&quot;&quot;" command="SELECT * FROM [Характеристики_товаров архив]"/>
  </connection>
  <connection id="12" xr16:uid="{5183E50F-FF1E-45BF-9896-B22988492D26}" keepAlive="1" name="Запрос — Цена товара" description="Соединение с запросом &quot;Цена товара&quot; в книге." type="5" refreshedVersion="7" background="1" refreshOnLoad="1" saveData="1">
    <dbPr connection="Provider=Microsoft.Mashup.OleDb.1;Data Source=$Workbook$;Location=&quot;Цена товара&quot;;Extended Properties=&quot;&quot;" command="SELECT * FROM [Цена товара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<sst xmlns="http://schemas.openxmlformats.org/spreadsheetml/2006/main" count="5713" uniqueCount="694">
  <si>
    <t>Артикул</t>
  </si>
  <si>
    <t>Наименование товара</t>
  </si>
  <si>
    <t>Дата покупки</t>
  </si>
  <si>
    <t>Количество</t>
  </si>
  <si>
    <t>Цена покупки USD</t>
  </si>
  <si>
    <t>Курс USD</t>
  </si>
  <si>
    <t>Цена покупки Руб</t>
  </si>
  <si>
    <t>цена за ед. руб.</t>
  </si>
  <si>
    <t>Номер поставки</t>
  </si>
  <si>
    <t>Вес заказа, кг.</t>
  </si>
  <si>
    <t>Стоимость доставки за ед.</t>
  </si>
  <si>
    <t>Итого за ед</t>
  </si>
  <si>
    <t>2BUYBOX7525-0330-5-4</t>
  </si>
  <si>
    <t>2BUYBOX7525-0312-2-1</t>
  </si>
  <si>
    <t>2BUYBOX7525-0510-2-1</t>
  </si>
  <si>
    <t>2BUYBOX7525-0622-3-1</t>
  </si>
  <si>
    <t>2BUYBOX7525-0627-1</t>
  </si>
  <si>
    <t>2BUYBOX7525-0905-10-3</t>
  </si>
  <si>
    <t>2BUYBOX7525-0903-5-3</t>
  </si>
  <si>
    <t>2BUYBOX7525-0911-3-1</t>
  </si>
  <si>
    <t>2BUYBOX7525-0906-1</t>
  </si>
  <si>
    <t>2BUYBOX7525-1117-4-2</t>
  </si>
  <si>
    <t>2BUYBOX7525-1226-3-1</t>
  </si>
  <si>
    <t>2BUYBOX7525-1231-6-3</t>
  </si>
  <si>
    <t>2BUYBOX7525-0121-4</t>
  </si>
  <si>
    <t>2BUYBOX7525-0122-4</t>
  </si>
  <si>
    <t>2BUYBOX7525-0217-3-2</t>
  </si>
  <si>
    <t>Дата поставки</t>
  </si>
  <si>
    <t>Стоимость в USD</t>
  </si>
  <si>
    <t>Стоимость в Руб</t>
  </si>
  <si>
    <t>Вес</t>
  </si>
  <si>
    <t>Обьем</t>
  </si>
  <si>
    <t>цена за кг</t>
  </si>
  <si>
    <t>Склад</t>
  </si>
  <si>
    <t>Доставка по москве</t>
  </si>
  <si>
    <t>Итого</t>
  </si>
  <si>
    <t>OZN1394692940</t>
  </si>
  <si>
    <t>Камера мгновенной печати Print Camera фиолетовый единорог</t>
  </si>
  <si>
    <t>OZN1394692902</t>
  </si>
  <si>
    <t>Камера мгновенной печати Print Camera розовый единорог</t>
  </si>
  <si>
    <t>OZN1394692965</t>
  </si>
  <si>
    <t>Камера мгновенной печати Print Camera крокодил</t>
  </si>
  <si>
    <t>OZN1394692978</t>
  </si>
  <si>
    <t>Камера мгновенной печати Print Camera Динозавр</t>
  </si>
  <si>
    <t>OZN1394692961</t>
  </si>
  <si>
    <t>OZN1394692975</t>
  </si>
  <si>
    <t>Камера мгновенной печати Print Camera розовый Единорог</t>
  </si>
  <si>
    <t>OZN1394692977</t>
  </si>
  <si>
    <t>Камера мгновенной печати Print Camera фиолетовый Единорог</t>
  </si>
  <si>
    <t>OZN1394692943</t>
  </si>
  <si>
    <t>Камера мгновенной печати Print Camera Розовая Русифицированная</t>
  </si>
  <si>
    <t>OZN1394692934</t>
  </si>
  <si>
    <t>Камера мгновенной печати Print Camera Оранжевая Русифицированная</t>
  </si>
  <si>
    <t>OZN1416845781</t>
  </si>
  <si>
    <t>Раскраска ГИМНАСТКИ художественная гимнастика, А4, 24 стр.</t>
  </si>
  <si>
    <t>OZN1519341213</t>
  </si>
  <si>
    <t>Металлическая модель грузовика Мерседес серо-голубой с прицепом, иннерционная, 31см, звук и свет</t>
  </si>
  <si>
    <t>OZN1519420173</t>
  </si>
  <si>
    <t>Металлическая модель автобуса, свет, звук, инерционный бежевый</t>
  </si>
  <si>
    <t>OZN1590279344</t>
  </si>
  <si>
    <t>Металлическая модель автобуса, свет, звук, инерционный красный</t>
  </si>
  <si>
    <t>OZN1590286574</t>
  </si>
  <si>
    <t>Металлическая модель автобуса, свет, звук, инерционный синий</t>
  </si>
  <si>
    <t>OZN1590287100</t>
  </si>
  <si>
    <t>Металлическая модель автобуса инерционная, белая</t>
  </si>
  <si>
    <t>OZN1638138900</t>
  </si>
  <si>
    <t>Металлическая модель грузовика Мерседес черно-желтый с прицепом, иннерционная, 31см, звук и свет</t>
  </si>
  <si>
    <t>OZN1638139882</t>
  </si>
  <si>
    <t>Металлическая модель грузовика Мерседес бело-коричневый с прицепом, иннерционная, 31см, звук и свет</t>
  </si>
  <si>
    <t>OZN1853555631</t>
  </si>
  <si>
    <t>Металлическая модель автобуса, свет, звук, инерционный белый Аэропорт экспресс1</t>
  </si>
  <si>
    <t>OZN1853557812</t>
  </si>
  <si>
    <t>Металлическая модель автобуса, свет, звук, инерционный белый Аэропорт экспресс2</t>
  </si>
  <si>
    <t>OZN1908688447</t>
  </si>
  <si>
    <t>Металлическая модель грузовика Мерседес бело-серый с прицепом, иннерционная, 31см, звук и свет</t>
  </si>
  <si>
    <t>OZN1908691731</t>
  </si>
  <si>
    <t>Металлическая модель грузовика Мерседес сине-коричневый с прицепом, иннерционная, 31см, звук и свет</t>
  </si>
  <si>
    <t>OZN1908692846</t>
  </si>
  <si>
    <t>Металлическая модель грузовика Мерседес черно-серый с прицепом, иннерционная, 31см, звук и свет</t>
  </si>
  <si>
    <t>OZN1908699436</t>
  </si>
  <si>
    <t>Металлическая модель грузовика Мерседес черно-синий с прицепом, иннерционная, 31см, звук и свет</t>
  </si>
  <si>
    <t>OZN1908696804</t>
  </si>
  <si>
    <t>Металлическая модель грузовика Мерседес синий с прицепом, иннерционная, 31см, звук и свет</t>
  </si>
  <si>
    <t>OZN1908704901</t>
  </si>
  <si>
    <t>Металлическая модель грузовика Мерседес бело-синий с прицепом, иннерционная, 31см, звук и свет</t>
  </si>
  <si>
    <t>OZN1908703168</t>
  </si>
  <si>
    <t>Металлическая модель грузовика Мерседес сине-желтый с прицепом, иннерционная, 31см, звук и свет</t>
  </si>
  <si>
    <t>OZN1908721954</t>
  </si>
  <si>
    <t>Металлическая модель грузовика Мерседес бело-желтый с прицепом, иннерционная, 31см, звук и свет</t>
  </si>
  <si>
    <t>OZN1908673448</t>
  </si>
  <si>
    <t>Металлическая модель автовоза черная, инерционная, 41 см</t>
  </si>
  <si>
    <t>OZN1908681312</t>
  </si>
  <si>
    <t>Металлическая модель автовоза синяя, инерционная, 41 см</t>
  </si>
  <si>
    <t>OZN1908684647</t>
  </si>
  <si>
    <t>Металлическая модель автовоза белая, инерционная, 41 см</t>
  </si>
  <si>
    <t>OZN1908739188</t>
  </si>
  <si>
    <t>Металлическая модель грузовика Мерседес черно-коричневый с прицепом, иннерционная, 31см, звук и свет</t>
  </si>
  <si>
    <t>OZN1908733235</t>
  </si>
  <si>
    <t>Металлическая модель инерционная, тягач белый, свет и звук</t>
  </si>
  <si>
    <t>OZN1908752585</t>
  </si>
  <si>
    <t>Игрушка контейнер грузовой желтый</t>
  </si>
  <si>
    <t>OZN1908757128</t>
  </si>
  <si>
    <t>Металлическая модель инерционная, тягач синий, свет и звук</t>
  </si>
  <si>
    <t>OZN1908759150</t>
  </si>
  <si>
    <t>Металлическая модель инерционная, тягач черный, свет и звук</t>
  </si>
  <si>
    <t>OZN1908768488</t>
  </si>
  <si>
    <t>Игрушка контейнер грузовой коричневый</t>
  </si>
  <si>
    <t>OZN1908772684</t>
  </si>
  <si>
    <t>Игрушка контейнер грузовой серый</t>
  </si>
  <si>
    <t>Дата актуальности</t>
  </si>
  <si>
    <t>Цена из заказа</t>
  </si>
  <si>
    <t>2BUYBOX7525-0308-2-1</t>
  </si>
  <si>
    <t>OZN1956886811</t>
  </si>
  <si>
    <t>Камера мгновенной печати Print Розовая Camera</t>
  </si>
  <si>
    <t>OZN1956886591</t>
  </si>
  <si>
    <t>Камера мгновенной печати Print Голубая Camera</t>
  </si>
  <si>
    <t>OZN1956876941</t>
  </si>
  <si>
    <t>Камера мгновенной печати Print Фиолетовая Camera</t>
  </si>
  <si>
    <t>OZN1956897653</t>
  </si>
  <si>
    <t>Игровой набор строительной техники 6 машин</t>
  </si>
  <si>
    <t>OZN1957023701</t>
  </si>
  <si>
    <t>Игровой набор строительной техники 3 машины и кран</t>
  </si>
  <si>
    <t>OZN2013628115</t>
  </si>
  <si>
    <t>Игровой набор строительной техники 5 машин и кран</t>
  </si>
  <si>
    <t>Цена покупки CNY за единицу</t>
  </si>
  <si>
    <t>Курс CNY</t>
  </si>
  <si>
    <t>ЕС69309</t>
  </si>
  <si>
    <t>ЕС69309-1</t>
  </si>
  <si>
    <t>Принято</t>
  </si>
  <si>
    <t>Брак</t>
  </si>
  <si>
    <t>ID</t>
  </si>
  <si>
    <t>17</t>
  </si>
  <si>
    <t>16</t>
  </si>
  <si>
    <t>1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</si>
  <si>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</si>
  <si>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</si>
  <si>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</si>
  <si>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</si>
  <si>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</si>
  <si>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</si>
  <si>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</si>
  <si>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</si>
  <si>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</si>
  <si>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61</t>
  </si>
  <si>
    <t>62</t>
  </si>
  <si>
    <t>63</t>
  </si>
  <si>
    <t>50</t>
  </si>
  <si>
    <t>53</t>
  </si>
  <si>
    <t>54</t>
  </si>
  <si>
    <t>55</t>
  </si>
  <si>
    <t>56</t>
  </si>
  <si>
    <t>57</t>
  </si>
  <si>
    <t>58</t>
  </si>
  <si>
    <t>59</t>
  </si>
  <si>
    <t>64</t>
  </si>
  <si>
    <t>71</t>
  </si>
  <si>
    <t>72</t>
  </si>
  <si>
    <t>73</t>
  </si>
  <si>
    <t>74</t>
  </si>
  <si>
    <t>75</t>
  </si>
  <si>
    <t>76</t>
  </si>
  <si>
    <t>1000</t>
  </si>
  <si>
    <t>1001</t>
  </si>
  <si>
    <t>1002</t>
  </si>
  <si>
    <t>asm3</t>
  </si>
  <si>
    <t>asm1</t>
  </si>
  <si>
    <t>asm5</t>
  </si>
  <si>
    <t>asm2</t>
  </si>
  <si>
    <t>asm4</t>
  </si>
  <si>
    <t>asm8</t>
  </si>
  <si>
    <t>asm9</t>
  </si>
  <si>
    <t>asm7</t>
  </si>
  <si>
    <t>asm6</t>
  </si>
  <si>
    <t>asm10</t>
  </si>
  <si>
    <t>140</t>
  </si>
  <si>
    <t>141</t>
  </si>
  <si>
    <t>142</t>
  </si>
  <si>
    <t>150</t>
  </si>
  <si>
    <t>146</t>
  </si>
  <si>
    <t>160</t>
  </si>
  <si>
    <t>barcode</t>
  </si>
  <si>
    <t>name</t>
  </si>
  <si>
    <t>offer_id</t>
  </si>
  <si>
    <t>height</t>
  </si>
  <si>
    <t>depth</t>
  </si>
  <si>
    <t>width</t>
  </si>
  <si>
    <t>dimension_unit</t>
  </si>
  <si>
    <t>weight</t>
  </si>
  <si>
    <t>weight_unit</t>
  </si>
  <si>
    <t>description_category_id</t>
  </si>
  <si>
    <t>type_id</t>
  </si>
  <si>
    <t>primary_image</t>
  </si>
  <si>
    <t>model_id</t>
  </si>
  <si>
    <t>count</t>
  </si>
  <si>
    <t>color_image</t>
  </si>
  <si>
    <t>sku</t>
  </si>
  <si>
    <t>mm</t>
  </si>
  <si>
    <t>g</t>
  </si>
  <si>
    <t>https://cdn1.ozone.ru/s3/multimedia-1-i/6922239030.jpg</t>
  </si>
  <si>
    <t/>
  </si>
  <si>
    <t>https://cdn1.ozone.ru/s3/multimedia-1-y/6922237858.jpg</t>
  </si>
  <si>
    <t>https://cdn1.ozone.ru/s3/multimedia-1-g/6956727064.jpg</t>
  </si>
  <si>
    <t>https://cdn1.ozone.ru/s3/multimedia-1-1/7524467677.jpg</t>
  </si>
  <si>
    <t>https://cdn1.ozone.ru/s3/multimedia-1-h/7524351701.jpg</t>
  </si>
  <si>
    <t>https://cdn1.ozone.ru/s3/multimedia-1-2/7524403958.jpg</t>
  </si>
  <si>
    <t>https://cdn1.ozone.ru/s3/multimedia-1-u/7370396670.jpg</t>
  </si>
  <si>
    <t>https://cdn1.ozone.ru/s3/multimedia-1-e/7370392910.jpg</t>
  </si>
  <si>
    <t>https://cdn1.ozone.ru/s3/multimedia-1-n/7370383919.jpg</t>
  </si>
  <si>
    <t>https://cdn1.ozone.ru/s3/multimedia-1-r/7524417735.jpg</t>
  </si>
  <si>
    <t>https://cdn1.ozone.ru/s3/multimedia-1-0/7524442152.jpg</t>
  </si>
  <si>
    <t>https://cdn1.ozone.ru/s3/multimedia-1-4/7524483016.jpg</t>
  </si>
  <si>
    <t>https://cdn1.ozone.ru/s3/multimedia-1-p/7524488113.jpg</t>
  </si>
  <si>
    <t>https://cdn1.ozone.ru/s3/multimedia-1-q/7524475766.jpg</t>
  </si>
  <si>
    <t>https://cdn1.ozone.ru/s3/multimedia-1-q/7524430946.jpg</t>
  </si>
  <si>
    <t>https://cdn1.ozone.ru/s3/multimedia-1-j/7524447247.jpg</t>
  </si>
  <si>
    <t>https://cdn1.ozone.ru/s3/multimedia-1-f/7524411423.jpg</t>
  </si>
  <si>
    <t>https://cdn1.ozone.ru/s3/multimedia-1-t/7524382241.jpg</t>
  </si>
  <si>
    <t>https://cdn1.ozone.ru/s3/multimedia-1-y/7370353150.jpg</t>
  </si>
  <si>
    <t>https://cdn1.ozone.ru/s3/multimedia-1-v/7370351887.jpg</t>
  </si>
  <si>
    <t>https://cdn1.ozone.ru/s3/multimedia-1-q/7370348930.jpg</t>
  </si>
  <si>
    <t>https://cdn1.ozone.ru/s3/multimedia-1-3/7370346171.jpg</t>
  </si>
  <si>
    <t>https://cdn1.ozone.ru/s3/multimedia-1-w/7370344148.jpg</t>
  </si>
  <si>
    <t>https://cdn1.ozone.ru/s3/multimedia-1-6/7370336994.jpg</t>
  </si>
  <si>
    <t>https://cdn1.ozone.ru/s3/multimedia-1-1/7339475737.jpg</t>
  </si>
  <si>
    <t>https://cdn1.ozone.ru/s3/multimedia-1-9/7339532841.jpg</t>
  </si>
  <si>
    <t>https://cdn1.ozone.ru/s3/multimedia-1-r/7339562199.jpg</t>
  </si>
  <si>
    <t>https://cdn1.ozone.ru/s3/multimedia-1-4/7452312664.jpg</t>
  </si>
  <si>
    <t>OZN2121361632</t>
  </si>
  <si>
    <t>Сборная модель Ford 2018 Mustang GT 1:42 Желтая</t>
  </si>
  <si>
    <t>OZN2121361425</t>
  </si>
  <si>
    <t>Сборная модель Ford 2018 Mustang GT 1:42 Синяя</t>
  </si>
  <si>
    <t>OZN2121361578</t>
  </si>
  <si>
    <t>Сборная модель Land Rover Defender 110 1:42 Красная</t>
  </si>
  <si>
    <t>OZN2121361335</t>
  </si>
  <si>
    <t>Сборная модель Ford 2018 Mustang GT 1:42 Красная</t>
  </si>
  <si>
    <t>OZN2121361404</t>
  </si>
  <si>
    <t>Сборная модель Land Rover Defender 110 1:42 Зеленая</t>
  </si>
  <si>
    <t>OZN2121361302</t>
  </si>
  <si>
    <t>Сборная модель Dodge Challenger Hellcat 1:36 Черная</t>
  </si>
  <si>
    <t>OZN2121361499</t>
  </si>
  <si>
    <t>Сборная модель Dodge Challenger Hellcat 1:36 Зеленая</t>
  </si>
  <si>
    <t>OZN2121361426</t>
  </si>
  <si>
    <t>Сборная модель Land Rover Defender 110 1:42 Голубая</t>
  </si>
  <si>
    <t>OZN2121361341</t>
  </si>
  <si>
    <t>Сборная модель Land Rover Defender 110 1:42 Серая</t>
  </si>
  <si>
    <t>OZN2121361322</t>
  </si>
  <si>
    <t>Сборная модель Dodge Challenger Hellcat 1:36 Красная</t>
  </si>
  <si>
    <t>OZN2127615040</t>
  </si>
  <si>
    <t>OZN2127675319</t>
  </si>
  <si>
    <t>OZN2127742906</t>
  </si>
  <si>
    <t>OZN2127867944</t>
  </si>
  <si>
    <t>OZN2127954962</t>
  </si>
  <si>
    <t>OZN2129042719</t>
  </si>
  <si>
    <t>Фотопринтер карманный цветной</t>
  </si>
  <si>
    <t>3</t>
  </si>
  <si>
    <t>9</t>
  </si>
  <si>
    <t>5</t>
  </si>
  <si>
    <t>OZN1394692927</t>
  </si>
  <si>
    <t>Камера мгновенной печати Print Camera зайчик</t>
  </si>
  <si>
    <t>https://cdn1.ozone.ru/s3/multimedia-z/6833926043.jpg</t>
  </si>
  <si>
    <t>15</t>
  </si>
  <si>
    <t>OZN1394692908</t>
  </si>
  <si>
    <t>Камера мгновенной печати Print Camera фламинго</t>
  </si>
  <si>
    <t>https://cdn1.ozone.ru/s3/multimedia-5/6835683677.jpg</t>
  </si>
  <si>
    <t>2</t>
  </si>
  <si>
    <t>https://cdn1.ozone.ru/s3/multimedia-1-1/6960260089.jpg</t>
  </si>
  <si>
    <t>6</t>
  </si>
  <si>
    <t>OZN1394692944</t>
  </si>
  <si>
    <t>Камера мгновенной печати Print Camera цыплёнок</t>
  </si>
  <si>
    <t>https://cdn1.ozone.ru/s3/multimedia-l/6833927577.jpg</t>
  </si>
  <si>
    <t>7</t>
  </si>
  <si>
    <t>OZN1394692948</t>
  </si>
  <si>
    <t>https://cdn1.ozone.ru/s3/multimedia-l/6834098613.jpg</t>
  </si>
  <si>
    <t>OZN1394692953</t>
  </si>
  <si>
    <t>Камера мгновенной печати Print Camera котик</t>
  </si>
  <si>
    <t>https://cdn1.ozone.ru/s3/multimedia-q/6833924630.jpg</t>
  </si>
  <si>
    <t>13</t>
  </si>
  <si>
    <t>OZN1394692914</t>
  </si>
  <si>
    <t>Мини-принтер для печати с телефона Голубой</t>
  </si>
  <si>
    <t>https://cdn1.ozone.ru/s3/multimedia-c/6835558224.jpg</t>
  </si>
  <si>
    <t>4</t>
  </si>
  <si>
    <t>https://cdn1.ozone.ru/s3/multimedia-b/6833925659.jpg</t>
  </si>
  <si>
    <t>8</t>
  </si>
  <si>
    <t>OZN1394692963</t>
  </si>
  <si>
    <t>https://cdn1.ozone.ru/s3/multimedia-l/6834095841.jpg</t>
  </si>
  <si>
    <t>10</t>
  </si>
  <si>
    <t>https://cdn1.ozone.ru/s3/multimedia-1-z/6922229039.jpg</t>
  </si>
  <si>
    <t>14</t>
  </si>
  <si>
    <t>OZN1394692979</t>
  </si>
  <si>
    <t>Мини-принтер для печати с телефона Розовый</t>
  </si>
  <si>
    <t>https://cdn1.ozone.ru/s3/multimedia-x/6835559181.jpg</t>
  </si>
  <si>
    <t>12</t>
  </si>
  <si>
    <t>https://cdn1.ozone.ru/s3/multimedia-1-g/7011716812.jpg</t>
  </si>
  <si>
    <t>11</t>
  </si>
  <si>
    <t>https://cdn1.ozone.ru/s3/multimedia-1-6/7011723462.jpg</t>
  </si>
  <si>
    <t>https://cdn1.ozone.ru/s3/multimedia-1-e/6922230890.jpg</t>
  </si>
  <si>
    <t>18</t>
  </si>
  <si>
    <t>OZN1407220121</t>
  </si>
  <si>
    <t>Камера мгновенной печати Print Camera Медвежонок Русифицированный</t>
  </si>
  <si>
    <t>https://cdn1.ozone.ru/s3/multimedia-1-b/6927680135.jpg</t>
  </si>
  <si>
    <t>101</t>
  </si>
  <si>
    <t>OZN1413951821</t>
  </si>
  <si>
    <t>Незамерзайка для машины/Жидкость стеклоомывателя Без аромата -30C 1 шт.</t>
  </si>
  <si>
    <t>https://cdn1.ozone.ru/s3/multimedia-1-k/6914647100.jpg</t>
  </si>
  <si>
    <t>21</t>
  </si>
  <si>
    <t>https://cdn1.ozone.ru/s3/multimedia-1-g/6945808876.jpg</t>
  </si>
  <si>
    <t>22</t>
  </si>
  <si>
    <t>9785001890218</t>
  </si>
  <si>
    <t>Раскраска ГИМНАСТИКА художественная гимнастика</t>
  </si>
  <si>
    <t>23</t>
  </si>
  <si>
    <t>OZN1431882316</t>
  </si>
  <si>
    <t>Камера мгновенной печати тест</t>
  </si>
  <si>
    <t>https://cdn1.ozone.ru/s3/multimedia-1-k/6911817824.jpg</t>
  </si>
  <si>
    <t>24</t>
  </si>
  <si>
    <t>OZN1431885229</t>
  </si>
  <si>
    <t>Камера мгновенной печати Print Camera тест2</t>
  </si>
  <si>
    <t>https://cdn1.ozone.ru/s3/multimedia-4/6829877920.jpg</t>
  </si>
  <si>
    <t>31</t>
  </si>
  <si>
    <t>OZN1462522572</t>
  </si>
  <si>
    <t>Бумага для мини принтера и фотоаппарата</t>
  </si>
  <si>
    <t>https://cdn1.ozone.ru/s3/multimedia-1-p/7011730429.jpg</t>
  </si>
  <si>
    <t>32</t>
  </si>
  <si>
    <t>OZN1462534313</t>
  </si>
  <si>
    <t>Самоклеящаяся бумага для мини принтера и фотоаппарата</t>
  </si>
  <si>
    <t>33</t>
  </si>
  <si>
    <t>OZN1462543566</t>
  </si>
  <si>
    <t>Цветная бумага для мини принтера и фотоаппарата</t>
  </si>
  <si>
    <t>https://cdn1.ozone.ru/s3/multimedia-1-l/7011749937.jpg</t>
  </si>
  <si>
    <t>19</t>
  </si>
  <si>
    <t>OZN1553321016</t>
  </si>
  <si>
    <t>Камера мгновенной печати Print Camera Розовая Котик Русифицированная</t>
  </si>
  <si>
    <t>https://cdn1.ozone.ru/s3/multimedia-1-g/7057289716.jpg</t>
  </si>
  <si>
    <t>51</t>
  </si>
  <si>
    <t>OZN1553321483</t>
  </si>
  <si>
    <t>Детская камера мгновенной печати Print Camera розовая</t>
  </si>
  <si>
    <t>https://cdn1.ozone.ru/s3/multimedia-1-h/7057284461.jpg</t>
  </si>
  <si>
    <t>52</t>
  </si>
  <si>
    <t>OZN1553323034</t>
  </si>
  <si>
    <t>Детская камера мгновенной печати Print Camera синяя</t>
  </si>
  <si>
    <t>https://cdn1.ozone.ru/s3/multimedia-1-1/7057282609.jpg</t>
  </si>
  <si>
    <t>91</t>
  </si>
  <si>
    <t>OZN1886455617</t>
  </si>
  <si>
    <t>Камера мгновенной печати Print Camera Розовая</t>
  </si>
  <si>
    <t>92</t>
  </si>
  <si>
    <t>OZN1886577158</t>
  </si>
  <si>
    <t>Камера мгновенной печати Print Camera Голубая</t>
  </si>
  <si>
    <t>93</t>
  </si>
  <si>
    <t>OZN1886630924</t>
  </si>
  <si>
    <t>Камера мгновенной печати Print Camera Фиолетовая</t>
  </si>
  <si>
    <t>https://cdn1.ozone.ru/s3/multimedia-1-7/7339560487.jpg</t>
  </si>
  <si>
    <t>60</t>
  </si>
  <si>
    <t>OZN1908727434</t>
  </si>
  <si>
    <t>https://cdn1.ozone.ru/s3/multimedia-1-3/7359546531.jpg</t>
  </si>
  <si>
    <t>143</t>
  </si>
  <si>
    <t>OZN2127752917</t>
  </si>
  <si>
    <t>2-х этажный автобус синий 2</t>
  </si>
  <si>
    <t>https://cdn1.ozone.ru/s3/multimedia-1-l/7537527813.jpg</t>
  </si>
  <si>
    <t>ЕС69309-3</t>
  </si>
  <si>
    <t>ЕС69309-2</t>
  </si>
  <si>
    <t>147</t>
  </si>
  <si>
    <t>OZN2168121577</t>
  </si>
  <si>
    <t>Бумажный гараж для машин</t>
  </si>
  <si>
    <t>https://cdn1.ozone.ru/s3/multimedia-1-k/7561333532.jpg</t>
  </si>
  <si>
    <t>https://cdn1.ozone.ru/s3/multimedia-1-v/7563856531.jpg</t>
  </si>
  <si>
    <t>https://cdn1.ozone.ru/s3/multimedia-1-d/7563936217.jpg</t>
  </si>
  <si>
    <t>https://cdn1.ozone.ru/s3/multimedia-1-e/7563856478.jpg</t>
  </si>
  <si>
    <t>https://cdn1.ozone.ru/s3/multimedia-1-r/7563856599.jpg</t>
  </si>
  <si>
    <t>https://cdn1.ozone.ru/s3/multimedia-1-z/7563990599.jpg</t>
  </si>
  <si>
    <t>mon1</t>
  </si>
  <si>
    <t>OZN2175006916</t>
  </si>
  <si>
    <t>77</t>
  </si>
  <si>
    <t>OZN2208862746</t>
  </si>
  <si>
    <t>Игрушка контейнер грузовой синий</t>
  </si>
  <si>
    <t>ssd1</t>
  </si>
  <si>
    <t>OZN2209447506</t>
  </si>
  <si>
    <t>SSD 1TB Внутренний COLORFUL CN600 PRO</t>
  </si>
  <si>
    <t>https://cdn1.ozone.ru/s3/multimedia-1-p/7579770361.jpg</t>
  </si>
  <si>
    <t>ssd2</t>
  </si>
  <si>
    <t>OZN2209447173</t>
  </si>
  <si>
    <t>ssd3</t>
  </si>
  <si>
    <t>OZN2209447473</t>
  </si>
  <si>
    <t>ssdceamere128</t>
  </si>
  <si>
    <t>OZN2209541968</t>
  </si>
  <si>
    <t>https://cdn1.ozone.ru/s3/multimedia-1-0/7579855692.jpg</t>
  </si>
  <si>
    <t>ssdceamere512</t>
  </si>
  <si>
    <t>ssdceamere1</t>
  </si>
  <si>
    <t>ssdceamere256</t>
  </si>
  <si>
    <t>SSD 512GB Внутренний COLORFUL CN600 PRO</t>
  </si>
  <si>
    <t>SSD 256GB Внутренний COLORFUL CN600</t>
  </si>
  <si>
    <t>OZN2209542234</t>
  </si>
  <si>
    <t>OZN2209542245</t>
  </si>
  <si>
    <t>OZN2209542536</t>
  </si>
  <si>
    <t>https://cdn1.ozone.ru/s3/multimedia-1-1/7596485461.jpg</t>
  </si>
  <si>
    <t>https://cdn1.ozone.ru/s3/multimedia-1-0/7637676984.jpg</t>
  </si>
  <si>
    <t>https://cdn1.ozone.ru/s3/multimedia-1-3/7596490467.jpg</t>
  </si>
  <si>
    <t>https://cdn1.ozone.ru/s3/multimedia-1-h/7637685317.jpg</t>
  </si>
  <si>
    <t>https://cdn1.ozone.ru/s3/multimedia-1-p/7596494197.jpg</t>
  </si>
  <si>
    <t>https://cdn1.ozone.ru/s3/multimedia-1-s/7637692888.jpg</t>
  </si>
  <si>
    <t>https://cdn1.ozone.ru/s3/multimedia-1-2/7596496334.jpg</t>
  </si>
  <si>
    <t>https://cdn1.ozone.ru/s3/multimedia-1-1/7631362909.jpg</t>
  </si>
  <si>
    <t>https://cdn1.ozone.ru/s3/multimedia-1-c/7596504480.jpg</t>
  </si>
  <si>
    <t>https://cdn1.ozone.ru/s3/multimedia-1-a/7631412526.jpg</t>
  </si>
  <si>
    <t>https://cdn1.ozone.ru/s3/multimedia-1-w/7596506912.jpg</t>
  </si>
  <si>
    <t>2-х этажный металлический автобус, белый</t>
  </si>
  <si>
    <t>https://cdn1.ozone.ru/s3/multimedia-1-5/7563915977.jpg</t>
  </si>
  <si>
    <t>2-х этажный металлический автобус, красный</t>
  </si>
  <si>
    <t>https://cdn1.ozone.ru/s3/multimedia-1-y/7563889150.jpg</t>
  </si>
  <si>
    <t>https://cdn1.ozone.ru/s3/multimedia-1-5/7563889049.jpg</t>
  </si>
  <si>
    <t>2-х этажный металлический автобус, синий</t>
  </si>
  <si>
    <t>https://cdn1.ozone.ru/s3/multimedia-1-3/7563889047.jpg</t>
  </si>
  <si>
    <t>Гараж пластиковый 1:24 с LED</t>
  </si>
  <si>
    <t>https://cdn1.ozone.ru/s3/multimedia-1-b/7627977263.jpg</t>
  </si>
  <si>
    <t>https://cdn1.ozone.ru/s3/multimedia-1-e/7627977230.jpg</t>
  </si>
  <si>
    <t>31.5" Монитор Asus ROG Swift OLED PG32UCDM</t>
  </si>
  <si>
    <t>https://cdn1.ozone.ru/s3/multimedia-1-b/7609392947.jpg</t>
  </si>
  <si>
    <t>https://cdn1.ozone.ru/s3/multimedia-1-d/7627638037.jpg</t>
  </si>
  <si>
    <t>SSD SATA 128 GB CEAMERE Внешний</t>
  </si>
  <si>
    <t>SSD SATA 512 GB CEAMERE Внешний</t>
  </si>
  <si>
    <t>SSD SATA 1 TB CEAMERE Внешний</t>
  </si>
  <si>
    <t>SSD SATA 256 GB CEAMERE Внешний</t>
  </si>
  <si>
    <t>warehouse_id</t>
  </si>
  <si>
    <t>warehouse_name</t>
  </si>
  <si>
    <t>cluster_id</t>
  </si>
  <si>
    <t>cluster_name</t>
  </si>
  <si>
    <t>item_tags</t>
  </si>
  <si>
    <t>ads</t>
  </si>
  <si>
    <t>days_without_sales</t>
  </si>
  <si>
    <t>turnover_grade</t>
  </si>
  <si>
    <t>idc</t>
  </si>
  <si>
    <t>available_stock_count</t>
  </si>
  <si>
    <t>valid_stock_count</t>
  </si>
  <si>
    <t>waiting_docs_stock_count</t>
  </si>
  <si>
    <t>expiring_stock_count</t>
  </si>
  <si>
    <t>transit_defect_stock_count</t>
  </si>
  <si>
    <t>stock_defect_stock_count</t>
  </si>
  <si>
    <t>excess_stock_count</t>
  </si>
  <si>
    <t>other_stock_count</t>
  </si>
  <si>
    <t>requested_stock_count</t>
  </si>
  <si>
    <t>transit_stock_count</t>
  </si>
  <si>
    <t>return_from_customer_stock_count</t>
  </si>
  <si>
    <t>return_to_seller_stock_count</t>
  </si>
  <si>
    <t>Уфа</t>
  </si>
  <si>
    <t>DEFICIT</t>
  </si>
  <si>
    <t>СПБ_ШУШАРЫ_РФЦ</t>
  </si>
  <si>
    <t>Санкт-Петербург и СЗО</t>
  </si>
  <si>
    <t>NO_SALES</t>
  </si>
  <si>
    <t>Colorful 1 ТБ Внутренний SSD-диск SSD CN600 (CN600 IF5C1C)</t>
  </si>
  <si>
    <t>ПУШКИНО_1_РФЦ</t>
  </si>
  <si>
    <t>Москва, МО и Дальние регионы</t>
  </si>
  <si>
    <t>СПБ_БУГРЫ_РФЦ</t>
  </si>
  <si>
    <t>ПУШКИНО_2_РФЦ</t>
  </si>
  <si>
    <t>SURPLUS</t>
  </si>
  <si>
    <t>ПЕРМЬ_РФЦ</t>
  </si>
  <si>
    <t>СОФЬИНО_РФЦ</t>
  </si>
  <si>
    <t>ACTUAL</t>
  </si>
  <si>
    <t>Казань</t>
  </si>
  <si>
    <t>НОГИНСК_РФЦ</t>
  </si>
  <si>
    <t>Hanyin Мини-принтер Hanyin MT53 термо, Цветной</t>
  </si>
  <si>
    <t>СПБ_КОЛПИНО_РФЦ</t>
  </si>
  <si>
    <t>Дальний Восток</t>
  </si>
  <si>
    <t>Кавказ</t>
  </si>
  <si>
    <t>ОМСК_РФЦ</t>
  </si>
  <si>
    <t>ЖУКОВСКИЙ_РФЦ</t>
  </si>
  <si>
    <t>ОРЕНБУРГ_РФЦ</t>
  </si>
  <si>
    <t>САМАРА_РФЦ</t>
  </si>
  <si>
    <t>Самара</t>
  </si>
  <si>
    <t>НИЖНИЙ_НОВГОРОД_РФЦ</t>
  </si>
  <si>
    <t>Екатеринбург_РФЦ_НОВЫЙ</t>
  </si>
  <si>
    <t>WAS_DEFICIT</t>
  </si>
  <si>
    <t>Воронеж</t>
  </si>
  <si>
    <t>Саратов</t>
  </si>
  <si>
    <t>Ярославль</t>
  </si>
  <si>
    <t>Тюмень</t>
  </si>
  <si>
    <t>Красноярск</t>
  </si>
  <si>
    <t>CeaMere 512 ГБ Внешний SSD-диск CMSSDA-512GB (CMSSDA), чтение - 500 Мб/с, запись - 500 Мб/с, Пластик, черный</t>
  </si>
  <si>
    <t>CeaMere 1 ТБ Внешний SSD-диск CMSSDA-1TB (CMSSDA), чтение - 500 Мб/с, запись - 500 Мб/с, Пластик, черный</t>
  </si>
  <si>
    <t>https://cdn1.ozone.ru/s3/multimedia-1-x/7646944929.jpg</t>
  </si>
  <si>
    <t>https://cdn1.ozone.ru/s3/multimedia-1-z/7646977367.jpg</t>
  </si>
  <si>
    <t>https://cdn1.ozone.ru/s3/multimedia-1-j/7646864311.jpg</t>
  </si>
  <si>
    <t>https://cdn1.ozone.ru/s3/multimedia-1-o/7646975700.jpg</t>
  </si>
  <si>
    <t>https://cdn1.ozone.ru/s3/multimedia-1-p/7563856381.jpg</t>
  </si>
  <si>
    <t>https://cdn1.ozone.ru/s3/multimedia-1-l/7646765673.jpg</t>
  </si>
  <si>
    <t>https://cdn1.ozone.ru/s3/multimedia-1-v/7646960731.jpg</t>
  </si>
  <si>
    <t>https://cdn1.ozone.ru/s3/multimedia-1-c/7563936036.jpg</t>
  </si>
  <si>
    <t>https://cdn1.ozone.ru/s3/multimedia-1-c/7563936072.jpg</t>
  </si>
  <si>
    <t>acquiring</t>
  </si>
  <si>
    <t>product_id</t>
  </si>
  <si>
    <t>volume_weight</t>
  </si>
  <si>
    <t>fbo_deliv_to_customer_amount</t>
  </si>
  <si>
    <t>fbo_direct_flow_trans_max_amount</t>
  </si>
  <si>
    <t>fbo_direct_flow_trans_min_amount</t>
  </si>
  <si>
    <t>fbo_return_flow_amount</t>
  </si>
  <si>
    <t>fbs_deliv_to_customer_amount</t>
  </si>
  <si>
    <t>fbs_direct_flow_trans_min_amount</t>
  </si>
  <si>
    <t>fbs_direct_flow_trans_max_amount</t>
  </si>
  <si>
    <t>fbs_first_mile_max_amount</t>
  </si>
  <si>
    <t>fbs_first_mile_min_amount</t>
  </si>
  <si>
    <t>fbs_return_flow_amount</t>
  </si>
  <si>
    <t>sales_percent_fbo</t>
  </si>
  <si>
    <t>sales_percent_fbs</t>
  </si>
  <si>
    <t>current_period_from</t>
  </si>
  <si>
    <t>current_period_to</t>
  </si>
  <si>
    <t>ozon_actions_exist</t>
  </si>
  <si>
    <t>auto_action_enabled</t>
  </si>
  <si>
    <t>currency_code</t>
  </si>
  <si>
    <t>marketing_price</t>
  </si>
  <si>
    <t>marketing_seller_price</t>
  </si>
  <si>
    <t>min_price</t>
  </si>
  <si>
    <t>old_price</t>
  </si>
  <si>
    <t>price.1</t>
  </si>
  <si>
    <t>retail_price</t>
  </si>
  <si>
    <t>vat</t>
  </si>
  <si>
    <t>auto_add_to_ozon_actions_list_enabled</t>
  </si>
  <si>
    <t>net_price</t>
  </si>
  <si>
    <t>external_index_data.min_price</t>
  </si>
  <si>
    <t>external_index_data.min_price_currency</t>
  </si>
  <si>
    <t>external_index_data.price_index_value</t>
  </si>
  <si>
    <t>ozon_index_data.min_price</t>
  </si>
  <si>
    <t>ozon_index_data.min_price_currency</t>
  </si>
  <si>
    <t>ozon_index_data.price_index_value</t>
  </si>
  <si>
    <t>color_index</t>
  </si>
  <si>
    <t>self_marketplaces_index_data.min_price</t>
  </si>
  <si>
    <t>self_marketplaces_index_data.min_price_currency</t>
  </si>
  <si>
    <t>self_marketplaces_index_data.price_index_value</t>
  </si>
  <si>
    <t>RUB</t>
  </si>
  <si>
    <t>WITHOUT_INDEX</t>
  </si>
  <si>
    <t>RED</t>
  </si>
  <si>
    <t>reward_ozon</t>
  </si>
  <si>
    <t>cost_of_fbo_min</t>
  </si>
  <si>
    <t>cost_of_fbo_max</t>
  </si>
  <si>
    <t>margin_min</t>
  </si>
  <si>
    <t>margin_max</t>
  </si>
  <si>
    <t>marginality_min</t>
  </si>
  <si>
    <t>marginality_max</t>
  </si>
  <si>
    <t>Name</t>
  </si>
  <si>
    <t>min_price_for_auto_actions_enabled</t>
  </si>
  <si>
    <t>expired_at</t>
  </si>
  <si>
    <t>date_now</t>
  </si>
  <si>
    <t>Осталось дней</t>
  </si>
  <si>
    <t>statuses</t>
  </si>
  <si>
    <t>updated</t>
  </si>
  <si>
    <t>code</t>
  </si>
  <si>
    <t>message</t>
  </si>
  <si>
    <t>result</t>
  </si>
  <si>
    <t>Участвуем в акции</t>
  </si>
  <si>
    <t>DISABLED</t>
  </si>
  <si>
    <t>Наша цена</t>
  </si>
  <si>
    <t>Цена до скидки</t>
  </si>
  <si>
    <t>Минимальная цена</t>
  </si>
  <si>
    <t>Калининград</t>
  </si>
  <si>
    <t>cost_of_fbo_mean</t>
  </si>
  <si>
    <t>coef_for_min_price</t>
  </si>
  <si>
    <t>min_price_set</t>
  </si>
  <si>
    <t>coef_for_price_stock</t>
  </si>
  <si>
    <t>price_set_stock</t>
  </si>
  <si>
    <t>Себестоимость</t>
  </si>
  <si>
    <t>Сечйчас участвуем в акциях</t>
  </si>
  <si>
    <r>
      <rPr>
        <sz val="11"/>
        <color rgb="FFFF0000"/>
        <rFont val="Calibri"/>
        <family val="2"/>
        <charset val="204"/>
        <scheme val="minor"/>
      </rPr>
      <t>Сейчас</t>
    </r>
    <r>
      <rPr>
        <sz val="11"/>
        <color theme="1"/>
        <rFont val="Calibri"/>
        <family val="2"/>
        <charset val="204"/>
        <scheme val="minor"/>
      </rPr>
      <t xml:space="preserve"> Минимальная цена</t>
    </r>
  </si>
  <si>
    <t>Сейчас Наша цена</t>
  </si>
  <si>
    <t>Сейчас Цена до скидки</t>
  </si>
  <si>
    <t>flag_actual_sku</t>
  </si>
  <si>
    <t>actual</t>
  </si>
  <si>
    <t>archiev</t>
  </si>
  <si>
    <t>Активный</t>
  </si>
  <si>
    <t>id</t>
  </si>
  <si>
    <t>attributes</t>
  </si>
  <si>
    <t>complex_attributes</t>
  </si>
  <si>
    <t>[List]</t>
  </si>
  <si>
    <t>asm11</t>
  </si>
  <si>
    <t>asm13</t>
  </si>
  <si>
    <t>OZN2491207426</t>
  </si>
  <si>
    <t>Suzuki jimny красная</t>
  </si>
  <si>
    <t>asm12</t>
  </si>
  <si>
    <t>OZN2491206925</t>
  </si>
  <si>
    <t>Suzuki jimny зеленая</t>
  </si>
  <si>
    <t>OZN2491206772</t>
  </si>
  <si>
    <t>Suzuki jimny синяя</t>
  </si>
  <si>
    <t>asm14</t>
  </si>
  <si>
    <t>OZN2491206829</t>
  </si>
  <si>
    <t>Suzuki jimny черная</t>
  </si>
  <si>
    <t>ВОРОНЕЖ_2_РФЦ</t>
  </si>
  <si>
    <t>144</t>
  </si>
  <si>
    <t>OZN2491234814</t>
  </si>
  <si>
    <t>2-х этажный металлический автобус, бежевый</t>
  </si>
  <si>
    <t>ЕС69309-6</t>
  </si>
  <si>
    <t>Цена покупки CNY</t>
  </si>
  <si>
    <t>161</t>
  </si>
  <si>
    <t>OZN2491283036</t>
  </si>
  <si>
    <t>Фотобумага для принтера</t>
  </si>
  <si>
    <t>set_nx296</t>
  </si>
  <si>
    <t>set_NX292B</t>
  </si>
  <si>
    <t>Игровой набор NX292B</t>
  </si>
  <si>
    <t>set_NX296A</t>
  </si>
  <si>
    <t>Игровой набор NX296A</t>
  </si>
  <si>
    <t>SET_NX292</t>
  </si>
  <si>
    <t>https://cdn1.ozone.ru/s3/multimedia-1-6/7750426470.jpg</t>
  </si>
  <si>
    <t>https://cdn1.ozone.ru/s3/multimedia-1-p/7750426741.jpg</t>
  </si>
  <si>
    <t>SET_NX297</t>
  </si>
  <si>
    <t>https://cdn1.ozone.ru/s3/multimedia-1-n/7750511483.jpg</t>
  </si>
  <si>
    <t>SET_NX292A</t>
  </si>
  <si>
    <t>https://cdn1.ozone.ru/s3/multimedia-1-y/7750527586.jpg</t>
  </si>
  <si>
    <t>Портативная цепная пила аккумуляторная</t>
  </si>
  <si>
    <t>https://cdn1.ozone.ru/s3/multimedia-1-4/7750571620.jpg</t>
  </si>
  <si>
    <t>SET_NX296</t>
  </si>
  <si>
    <t>OZN2491298481</t>
  </si>
  <si>
    <t>Игровой набор строительной техники 4 машин</t>
  </si>
  <si>
    <t>OZN2491300389</t>
  </si>
  <si>
    <t>SJO1</t>
  </si>
  <si>
    <t>OZN2576060673</t>
  </si>
  <si>
    <t>Водяное охлаждение Thermalright Mjolnir Vision 360 ARGB BLACK</t>
  </si>
  <si>
    <t>https://cdn1.ozone.ru/s3/multimedia-1-r/7354885347.jpg</t>
  </si>
  <si>
    <t>OZN2576560368</t>
  </si>
  <si>
    <t>https://cdn1.ozone.ru/s3/multimedia-1-1/7750639045.jpg</t>
  </si>
  <si>
    <t>Беларусь</t>
  </si>
  <si>
    <t>CeaMere 128 ГБ Внешний SSD-диск CMSSDA-128GB (CMSSDA), чтение - 500 Мб/с, запись - 500 Мб/с, Пластик, черный</t>
  </si>
  <si>
    <t>ASUS 31.5" Монитор asus rog swift oled pg32ucdm, черный</t>
  </si>
  <si>
    <t>Обновить срок минимальную цену</t>
  </si>
  <si>
    <t>Well done! Таймеры успешно обновлены.</t>
  </si>
  <si>
    <t>Соотвествие</t>
  </si>
  <si>
    <t>2025-09-04T21:00:00Z</t>
  </si>
  <si>
    <t>2026-03-06T20:59:59Z</t>
  </si>
  <si>
    <t>ENABLED</t>
  </si>
  <si>
    <t>КАЛИНИНГРАД_МРФЦ</t>
  </si>
  <si>
    <t>СПБ_ШУШАРЫ_РФЦ_НЕГАБАРИТ</t>
  </si>
  <si>
    <t>FBS_RETURN</t>
  </si>
  <si>
    <t>WAS_POPULAR</t>
  </si>
  <si>
    <t>Строительная техника 6 ед.: Экскаватор, Гусеничный Экскаватор, Кран, Самосвал, Бетономешалка, Дорожный каток</t>
  </si>
  <si>
    <t>Сборная модель 1:32 Suzuki jimny Зеленая</t>
  </si>
  <si>
    <t>Строительная техника 6 ед.: Экскаватор + 3 насадки, Гусеничный Экскаватор, Гусеничный Кран, Самосвал, Бетономешалка, Бензовоз</t>
  </si>
  <si>
    <t>Hanyin Фотобумага A8 (5.2 × 7.4 см), 20 лист., шт</t>
  </si>
  <si>
    <t>Сборная модель 1:32 Suzuki jimny красная</t>
  </si>
  <si>
    <t>Сборная модель 1:32 Suzuki jimny черная</t>
  </si>
  <si>
    <t>WAS_ACTUAL</t>
  </si>
  <si>
    <t>Сборная модель 1:32 Suzuki jimny синяя</t>
  </si>
  <si>
    <t>Строительная техника 4 ед.: Экскаватор, Гусеничный Экскаватор, Кран, Самосвал</t>
  </si>
  <si>
    <t>Новосибирск_РФЦ_НОВЫЙ</t>
  </si>
  <si>
    <t>Цена упаковки</t>
  </si>
  <si>
    <t>цена доставки</t>
  </si>
  <si>
    <t>Цена честного знака</t>
  </si>
  <si>
    <t>Фотопринтер карманный цветной Hanyin MT53</t>
  </si>
  <si>
    <t>https://cdn1.ozone.ru/s3/multimedia-1-t/8013668861.jpg</t>
  </si>
  <si>
    <t>https://cdn1.ozone.ru/s3/multimedia-1-4/8013669052.jpg</t>
  </si>
  <si>
    <t>https://cdn1.ozone.ru/s3/multimedia-1-b/8009323103.jpg</t>
  </si>
  <si>
    <t>https://cdn1.ozone.ru/s3/multimedia-1-i/8009322894.jpg</t>
  </si>
  <si>
    <t>https://cdn1.ozone.ru/s3/multimedia-1-n/8009482379.jpg</t>
  </si>
  <si>
    <t>https://cdn1.ozone.ru/s3/multimedia-1-y/8009482282.jpg</t>
  </si>
  <si>
    <t>https://cdn1.ozone.ru/s3/multimedia-1-6/8009310390.jpg</t>
  </si>
  <si>
    <t>https://cdn1.ozone.ru/s3/multimedia-1-5/8009310317.jpg</t>
  </si>
  <si>
    <t>https://cdn1.ozone.ru/s3/multimedia-1-t/7563915929.jpg</t>
  </si>
  <si>
    <t>Фотобумага для принтера Hanyin MT53</t>
  </si>
  <si>
    <t>https://cdn1.ozone.ru/s3/multimedia-1-i/8007561882.jpg</t>
  </si>
  <si>
    <t>Строительная техника 4 ед.: Экскаватор, Гусеничный Экскаватор, Самосвал, Бетономешалка</t>
  </si>
  <si>
    <t>https://cdn1.ozone.ru/s3/multimedia-1-i/7750538046.jpg</t>
  </si>
  <si>
    <t>SUPER</t>
  </si>
  <si>
    <t>Цифр. код</t>
  </si>
  <si>
    <t>Букв. код</t>
  </si>
  <si>
    <t>Единиц</t>
  </si>
  <si>
    <t>Валюта</t>
  </si>
  <si>
    <t>Курс</t>
  </si>
  <si>
    <t>USD</t>
  </si>
  <si>
    <t>Доллар США</t>
  </si>
  <si>
    <t>EUR</t>
  </si>
  <si>
    <t>Евро</t>
  </si>
  <si>
    <t>CNY</t>
  </si>
  <si>
    <t>Юань</t>
  </si>
  <si>
    <t>АДЫГЕЙСК_РФЦ</t>
  </si>
  <si>
    <t>Армения</t>
  </si>
  <si>
    <t>Дата</t>
  </si>
  <si>
    <t>ЕС69309 - 9</t>
  </si>
  <si>
    <t>цена за кг $</t>
  </si>
  <si>
    <t>ХОРУГВИНО_РФЦ</t>
  </si>
  <si>
    <t>Ростов_на_Дону_РФЦ</t>
  </si>
  <si>
    <t>Казань_РФЦ_НОВЫЙ</t>
  </si>
  <si>
    <t>ВОРОНЕЖ_МРФЦ</t>
  </si>
  <si>
    <t>WAITING_FOR_SUPPLY</t>
  </si>
  <si>
    <t>WAS_SURPLUS</t>
  </si>
  <si>
    <t>ДОМОДЕДОВО_РФЦ</t>
  </si>
  <si>
    <t>NOVEL;SUPER</t>
  </si>
  <si>
    <t>COLLECTING_DATA</t>
  </si>
  <si>
    <t>НЕВИННОМЫССК_РФЦ</t>
  </si>
  <si>
    <t>VALIDATION_ERROR</t>
  </si>
  <si>
    <t>Old price is less than price</t>
  </si>
  <si>
    <t>GREEN</t>
  </si>
  <si>
    <t>Пермь</t>
  </si>
  <si>
    <t>Новосибирск</t>
  </si>
  <si>
    <t>Ростов</t>
  </si>
  <si>
    <t>Оренбург</t>
  </si>
  <si>
    <t>Краснодар</t>
  </si>
  <si>
    <t>Омск</t>
  </si>
  <si>
    <t>Тверь</t>
  </si>
  <si>
    <t>Екатеринбург</t>
  </si>
  <si>
    <t>discount_for_average_price_is_too_small</t>
  </si>
  <si>
    <t>Ваша цена в промежутке от 400 до 10000 — по нашим правилам скидка должна быть больше 5%</t>
  </si>
  <si>
    <t>RESTRICTED_NO_SALES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</si>
</sst>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0.0%"/>
    <numFmt numFmtId="166" formatCode="_-* #,##0.00\ [$CNY]_-;\-* #,##0.00\ [$CNY]_-;_-* &quot;-&quot;??\ [$CNY]_-;_-@_-"/>
    <numFmt numFmtId="167" formatCode="_-* #,##0.00\ [$RUB]_-;\-* #,##0.00\ [$RUB]_-;_-* &quot;-&quot;??\ [$RUB]_-;_-@_-"/>
    <numFmt numFmtId="168" formatCode="_-[$$-409]* #,##0.00_ ;_-[$$-409]* \-#,##0.00\ ;_-[$$-409]* &quot;-&quot;??_ ;_-@_ "/>
  </numFmts>
  <fonts count="31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charset val="204"/>
    </font>
    <font>
      <sz val="10"/>
      <name val="Roboto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indexed="5"/>
        <bgColor indexed="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9">
    <xf numFmtId="0" fontId="0" fillId="0" borderId="0"/>
    <xf numFmtId="0" fontId="20" fillId="0" borderId="0"/>
    <xf numFmtId="0" fontId="21" fillId="0" borderId="0"/>
    <xf numFmtId="0" fontId="22" fillId="0" borderId="0"/>
    <xf numFmtId="0" fontId="24" fillId="0" borderId="0"/>
    <xf numFmtId="0" fontId="24" fillId="0" borderId="0"/>
    <xf numFmtId="0" fontId="24" fillId="2" borderId="1" applyNumberFormat="0" applyFont="0" applyProtection="0"/>
    <xf numFmtId="9" fontId="24" fillId="0" borderId="0" applyFont="0" applyFill="0" applyBorder="0" applyProtection="0"/>
    <xf numFmtId="43" fontId="24" fillId="0" borderId="0" applyFont="0" applyFill="0" applyBorder="0" applyProtection="0"/>
  </cellStyleXfs>
  <cellXfs count="65">
    <xf numFmtId="0" fontId="0" fillId="0" borderId="0" xfId="0"/>
    <xf numFmtId="14" fontId="0" fillId="0" borderId="0" xfId="0" applyNumberFormat="1"/>
    <xf numFmtId="2" fontId="0" fillId="0" borderId="0" xfId="0" applyNumberFormat="1"/>
    <xf numFmtId="43" fontId="0" fillId="0" borderId="0" xfId="8" applyFont="1"/>
    <xf numFmtId="2" fontId="0" fillId="0" borderId="0" xfId="7" applyNumberFormat="1" applyFont="1"/>
    <xf numFmtId="164" fontId="0" fillId="0" borderId="0" xfId="0" applyNumberFormat="1"/>
    <xf numFmtId="0" fontId="23" fillId="0" borderId="0" xfId="0" applyFont="1"/>
    <xf numFmtId="164" fontId="0" fillId="3" borderId="0" xfId="0" applyNumberFormat="1" applyFill="1"/>
    <xf numFmtId="165" fontId="0" fillId="0" borderId="0" xfId="7" applyNumberFormat="1" applyFont="1"/>
    <xf numFmtId="43" fontId="0" fillId="0" borderId="0" xfId="0" applyNumberFormat="1"/>
    <xf numFmtId="0" fontId="19" fillId="0" borderId="0" xfId="0" applyFont="1"/>
    <xf numFmtId="166" fontId="0" fillId="0" borderId="0" xfId="0" applyNumberFormat="1"/>
    <xf numFmtId="166" fontId="19" fillId="0" borderId="0" xfId="8" applyNumberFormat="1" applyFont="1" applyAlignment="1">
      <alignment horizontal="center" vertical="center" wrapText="1"/>
    </xf>
    <xf numFmtId="2" fontId="19" fillId="0" borderId="0" xfId="0" applyNumberFormat="1" applyFont="1"/>
    <xf numFmtId="43" fontId="0" fillId="0" borderId="0" xfId="8" applyFont="1" applyFill="1"/>
    <xf numFmtId="49" fontId="17" fillId="0" borderId="0" xfId="0" applyNumberFormat="1" applyFont="1"/>
    <xf numFmtId="0" fontId="17" fillId="0" borderId="0" xfId="0" applyFont="1"/>
    <xf numFmtId="2" fontId="17" fillId="0" borderId="0" xfId="0" applyNumberFormat="1" applyFont="1"/>
    <xf numFmtId="43" fontId="17" fillId="0" borderId="0" xfId="8" applyFont="1"/>
    <xf numFmtId="0" fontId="18" fillId="0" borderId="0" xfId="0" applyFont="1"/>
    <xf numFmtId="0" fontId="0" fillId="4" borderId="0" xfId="0" applyFill="1"/>
    <xf numFmtId="43" fontId="0" fillId="4" borderId="0" xfId="8" applyFont="1" applyFill="1"/>
    <xf numFmtId="0" fontId="15" fillId="5" borderId="2" xfId="0" applyFont="1" applyFill="1" applyBorder="1"/>
    <xf numFmtId="0" fontId="15" fillId="0" borderId="0" xfId="0" applyFont="1"/>
    <xf numFmtId="43" fontId="15" fillId="0" borderId="0" xfId="8" applyFont="1"/>
    <xf numFmtId="1" fontId="0" fillId="0" borderId="0" xfId="8" applyNumberFormat="1" applyFont="1"/>
    <xf numFmtId="43" fontId="15" fillId="5" borderId="2" xfId="8" applyFont="1" applyFill="1" applyBorder="1"/>
    <xf numFmtId="0" fontId="0" fillId="6" borderId="0" xfId="0" applyFill="1"/>
    <xf numFmtId="0" fontId="16" fillId="0" borderId="0" xfId="0" applyFont="1"/>
    <xf numFmtId="0" fontId="14" fillId="0" borderId="0" xfId="0" applyFont="1"/>
    <xf numFmtId="0" fontId="0" fillId="0" borderId="0" xfId="8" applyNumberFormat="1" applyFont="1"/>
    <xf numFmtId="0" fontId="0" fillId="0" borderId="0" xfId="8" applyNumberFormat="1" applyFont="1" applyFill="1"/>
    <xf numFmtId="49" fontId="13" fillId="0" borderId="0" xfId="0" applyNumberFormat="1" applyFont="1"/>
    <xf numFmtId="0" fontId="30" fillId="0" borderId="0" xfId="0" applyFont="1"/>
    <xf numFmtId="166" fontId="13" fillId="0" borderId="0" xfId="8" applyNumberFormat="1" applyFont="1" applyAlignment="1">
      <alignment horizontal="center" vertical="center" wrapText="1"/>
    </xf>
    <xf numFmtId="43" fontId="12" fillId="0" borderId="0" xfId="8" applyFont="1"/>
    <xf numFmtId="43" fontId="12" fillId="0" borderId="0" xfId="8" applyFont="1" applyFill="1"/>
    <xf numFmtId="0" fontId="12" fillId="0" borderId="0" xfId="8" applyNumberFormat="1" applyFont="1"/>
    <xf numFmtId="0" fontId="12" fillId="0" borderId="0" xfId="8" applyNumberFormat="1" applyFont="1" applyFill="1"/>
    <xf numFmtId="0" fontId="0" fillId="7" borderId="0" xfId="0" applyFill="1"/>
    <xf numFmtId="43" fontId="12" fillId="7" borderId="0" xfId="8" applyFont="1" applyFill="1"/>
    <xf numFmtId="0" fontId="12" fillId="7" borderId="0" xfId="8" applyNumberFormat="1" applyFont="1" applyFill="1"/>
    <xf numFmtId="0" fontId="0" fillId="7" borderId="0" xfId="8" applyNumberFormat="1" applyFont="1" applyFill="1"/>
    <xf numFmtId="0" fontId="29" fillId="0" borderId="0" xfId="0" applyFont="1"/>
    <xf numFmtId="49" fontId="11" fillId="0" borderId="0" xfId="0" applyNumberFormat="1" applyFont="1"/>
    <xf numFmtId="49" fontId="10" fillId="0" borderId="0" xfId="0" applyNumberFormat="1" applyFont="1"/>
    <xf numFmtId="0" fontId="0" fillId="0" borderId="0" xfId="0" applyNumberFormat="1"/>
    <xf numFmtId="0" fontId="9" fillId="4" borderId="0" xfId="0" applyFont="1" applyFill="1"/>
    <xf numFmtId="0" fontId="8" fillId="0" borderId="0" xfId="0" applyFont="1"/>
    <xf numFmtId="49" fontId="7" fillId="0" borderId="0" xfId="0" applyNumberFormat="1" applyFont="1"/>
    <xf numFmtId="0" fontId="0" fillId="0" borderId="0" xfId="0" applyFill="1"/>
    <xf numFmtId="14" fontId="0" fillId="0" borderId="0" xfId="0" applyNumberFormat="1" applyFill="1"/>
    <xf numFmtId="166" fontId="0" fillId="0" borderId="0" xfId="0" applyNumberFormat="1" applyFill="1"/>
    <xf numFmtId="0" fontId="6" fillId="0" borderId="0" xfId="0" applyFont="1"/>
    <xf numFmtId="49" fontId="5" fillId="0" borderId="0" xfId="0" applyNumberFormat="1" applyFont="1"/>
    <xf numFmtId="49" fontId="4" fillId="0" borderId="0" xfId="0" applyNumberFormat="1" applyFont="1"/>
    <xf numFmtId="43" fontId="4" fillId="0" borderId="0" xfId="8" applyFont="1"/>
    <xf numFmtId="167" fontId="0" fillId="0" borderId="0" xfId="0" applyNumberFormat="1"/>
    <xf numFmtId="0" fontId="3" fillId="0" borderId="3" xfId="0" applyFont="1" applyBorder="1"/>
    <xf numFmtId="0" fontId="3" fillId="0" borderId="0" xfId="0" applyFont="1"/>
    <xf numFmtId="14" fontId="0" fillId="0" borderId="0" xfId="8" applyNumberFormat="1" applyFont="1"/>
    <xf numFmtId="44" fontId="0" fillId="0" borderId="0" xfId="0" applyNumberFormat="1"/>
    <xf numFmtId="44" fontId="23" fillId="0" borderId="0" xfId="0" applyNumberFormat="1" applyFont="1"/>
    <xf numFmtId="44" fontId="2" fillId="0" borderId="0" xfId="0" applyNumberFormat="1" applyFont="1"/>
    <xf numFmtId="168" fontId="0" fillId="0" borderId="0" xfId="0" applyNumberFormat="1"/>
  </cellXfs>
  <cellStyles count="9">
    <cellStyle name="Гиперссылка 2" xfId="1" xr:uid="{00000000-0005-0000-0000-000000000000}"/>
    <cellStyle name="Обычный" xfId="0" builtinId="0"/>
    <cellStyle name="Обычный 2" xfId="2" xr:uid="{00000000-0005-0000-0000-000002000000}"/>
    <cellStyle name="Обычный 2 2" xfId="3" xr:uid="{00000000-0005-0000-0000-000003000000}"/>
    <cellStyle name="Обычный 3" xfId="4" xr:uid="{00000000-0005-0000-0000-000004000000}"/>
    <cellStyle name="Обычный 4" xfId="5" xr:uid="{00000000-0005-0000-0000-000005000000}"/>
    <cellStyle name="Примечание 2" xfId="6" xr:uid="{00000000-0005-0000-0000-000006000000}"/>
    <cellStyle name="Процентный" xfId="7" builtinId="5"/>
    <cellStyle name="Финансовый" xfId="8" builtinId="3"/>
  </cellStyles>
  <dxfs count="5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5" formatCode="_-* #,##0.00_-;\-* #,##0.00_-;_-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6" formatCode="_-* #,##0.00\ [$CNY]_-;\-* #,##0.00\ [$CNY]_-;_-* &quot;-&quot;??\ [$CNY]_-;_-@_-"/>
    </dxf>
    <dxf>
      <numFmt numFmtId="166" formatCode="_-* #,##0.00\ [$CNY]_-;\-* #,##0.00\ [$CNY]_-;_-* &quot;-&quot;??\ [$CNY]_-;_-@_-"/>
    </dxf>
    <dxf>
      <numFmt numFmtId="166" formatCode="_-* #,##0.00\ [$CNY]_-;\-* #,##0.00\ [$CNY]_-;_-* &quot;-&quot;??\ [$CNY]_-;_-@_-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F958FA01-35C8-4DE5-86DE-A5BA7253EA4C}" autoFormatId="16" applyNumberFormats="0" applyBorderFormats="0" applyFontFormats="0" applyPatternFormats="0" applyAlignmentFormats="0" applyWidthHeightFormats="0">
  <queryTableRefresh nextId="32" unboundColumnsRight="7">
    <queryTableFields count="26">
      <queryTableField id="2" name="Артикул" tableColumnId="2"/>
      <queryTableField id="1" name="ID" tableColumnId="1"/>
      <queryTableField id="18" name="sku" tableColumnId="18"/>
      <queryTableField id="3" name="barcode" tableColumnId="3"/>
      <queryTableField id="4" name="name" tableColumnId="4"/>
      <queryTableField id="5" name="offer_id" tableColumnId="5"/>
      <queryTableField id="6" name="height" tableColumnId="6"/>
      <queryTableField id="7" name="depth" tableColumnId="7"/>
      <queryTableField id="8" name="width" tableColumnId="8"/>
      <queryTableField id="9" name="dimension_unit" tableColumnId="9"/>
      <queryTableField id="10" name="weight" tableColumnId="10"/>
      <queryTableField id="11" name="weight_unit" tableColumnId="11"/>
      <queryTableField id="12" name="description_category_id" tableColumnId="12"/>
      <queryTableField id="13" name="type_id" tableColumnId="13"/>
      <queryTableField id="14" name="primary_image" tableColumnId="14"/>
      <queryTableField id="15" name="model_id" tableColumnId="15"/>
      <queryTableField id="16" name="count" tableColumnId="16"/>
      <queryTableField id="17" name="color_image" tableColumnId="17"/>
      <queryTableField id="28" name="flag_actual_sku" tableColumnId="21"/>
      <queryTableField id="21" dataBound="0" tableColumnId="19"/>
      <queryTableField id="22" dataBound="0" tableColumnId="20"/>
      <queryTableField id="24" dataBound="0" tableColumnId="22"/>
      <queryTableField id="25" dataBound="0" tableColumnId="23"/>
      <queryTableField id="29" dataBound="0" tableColumnId="24"/>
      <queryTableField id="30" dataBound="0" tableColumnId="25"/>
      <queryTableField id="31" dataBound="0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6DD0676-E62A-433B-ABC1-CE3D864E9D10}" autoFormatId="16" applyNumberFormats="0" applyBorderFormats="0" applyFontFormats="0" applyPatternFormats="0" applyAlignmentFormats="0" applyWidthHeightFormats="0">
  <queryTableRefresh nextId="7">
    <queryTableFields count="6">
      <queryTableField id="1" name="Цифр. код" tableColumnId="1"/>
      <queryTableField id="2" name="Букв. код" tableColumnId="2"/>
      <queryTableField id="3" name="Единиц" tableColumnId="3"/>
      <queryTableField id="4" name="Валюта" tableColumnId="4"/>
      <queryTableField id="5" name="Курс" tableColumnId="5"/>
      <queryTableField id="6" name="Дата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9CEBF403-EC2A-4D0E-85DF-CAF1B2745628}" autoFormatId="16" applyNumberFormats="0" applyBorderFormats="0" applyFontFormats="0" applyPatternFormats="0" applyAlignmentFormats="0" applyWidthHeightFormats="0">
  <queryTableRefresh nextId="25">
    <queryTableFields count="24">
      <queryTableField id="1" name="sku" tableColumnId="1"/>
      <queryTableField id="2" name="name" tableColumnId="2"/>
      <queryTableField id="3" name="offer_id" tableColumnId="3"/>
      <queryTableField id="4" name="warehouse_id" tableColumnId="4"/>
      <queryTableField id="5" name="warehouse_name" tableColumnId="5"/>
      <queryTableField id="6" name="cluster_id" tableColumnId="6"/>
      <queryTableField id="7" name="cluster_name" tableColumnId="7"/>
      <queryTableField id="8" name="item_tags" tableColumnId="8"/>
      <queryTableField id="9" name="ads" tableColumnId="9"/>
      <queryTableField id="10" name="days_without_sales" tableColumnId="10"/>
      <queryTableField id="11" name="turnover_grade" tableColumnId="11"/>
      <queryTableField id="12" name="idc" tableColumnId="12"/>
      <queryTableField id="13" name="available_stock_count" tableColumnId="13"/>
      <queryTableField id="14" name="valid_stock_count" tableColumnId="14"/>
      <queryTableField id="15" name="waiting_docs_stock_count" tableColumnId="15"/>
      <queryTableField id="16" name="expiring_stock_count" tableColumnId="16"/>
      <queryTableField id="17" name="transit_defect_stock_count" tableColumnId="17"/>
      <queryTableField id="18" name="stock_defect_stock_count" tableColumnId="18"/>
      <queryTableField id="19" name="excess_stock_count" tableColumnId="19"/>
      <queryTableField id="20" name="other_stock_count" tableColumnId="20"/>
      <queryTableField id="21" name="requested_stock_count" tableColumnId="21"/>
      <queryTableField id="22" name="transit_stock_count" tableColumnId="22"/>
      <queryTableField id="23" name="return_from_customer_stock_count" tableColumnId="23"/>
      <queryTableField id="24" name="return_to_seller_stock_count" tableColumnId="2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2" xr16:uid="{505D4936-2AFF-4DF3-84B7-D2AEA0FE110B}" autoFormatId="16" applyNumberFormats="0" applyBorderFormats="0" applyFontFormats="0" applyPatternFormats="0" applyAlignmentFormats="0" applyWidthHeightFormats="0">
  <queryTableRefresh nextId="59">
    <queryTableFields count="52">
      <queryTableField id="2" name="offer_id" tableColumnId="2"/>
      <queryTableField id="1" name="acquiring" tableColumnId="1"/>
      <queryTableField id="3" name="product_id" tableColumnId="3"/>
      <queryTableField id="4" name="volume_weight" tableColumnId="4"/>
      <queryTableField id="5" name="fbo_deliv_to_customer_amount" tableColumnId="5"/>
      <queryTableField id="6" name="fbo_direct_flow_trans_max_amount" tableColumnId="6"/>
      <queryTableField id="7" name="fbo_direct_flow_trans_min_amount" tableColumnId="7"/>
      <queryTableField id="8" name="fbo_return_flow_amount" tableColumnId="8"/>
      <queryTableField id="9" name="fbs_deliv_to_customer_amount" tableColumnId="9"/>
      <queryTableField id="10" name="fbs_direct_flow_trans_min_amount" tableColumnId="10"/>
      <queryTableField id="11" name="fbs_direct_flow_trans_max_amount" tableColumnId="11"/>
      <queryTableField id="12" name="fbs_first_mile_max_amount" tableColumnId="12"/>
      <queryTableField id="13" name="fbs_first_mile_min_amount" tableColumnId="13"/>
      <queryTableField id="14" name="fbs_return_flow_amount" tableColumnId="14"/>
      <queryTableField id="15" name="sales_percent_fbo" tableColumnId="15"/>
      <queryTableField id="16" name="sales_percent_fbs" tableColumnId="16"/>
      <queryTableField id="17" name="current_period_from" tableColumnId="17"/>
      <queryTableField id="18" name="current_period_to" tableColumnId="18"/>
      <queryTableField id="19" name="ozon_actions_exist" tableColumnId="19"/>
      <queryTableField id="20" name="auto_action_enabled" tableColumnId="20"/>
      <queryTableField id="21" name="currency_code" tableColumnId="21"/>
      <queryTableField id="22" name="marketing_price" tableColumnId="22"/>
      <queryTableField id="23" name="marketing_seller_price" tableColumnId="23"/>
      <queryTableField id="24" name="min_price" tableColumnId="24"/>
      <queryTableField id="25" name="old_price" tableColumnId="25"/>
      <queryTableField id="26" name="price.1" tableColumnId="26"/>
      <queryTableField id="27" name="retail_price" tableColumnId="27"/>
      <queryTableField id="28" name="vat" tableColumnId="28"/>
      <queryTableField id="29" name="auto_add_to_ozon_actions_list_enabled" tableColumnId="29"/>
      <queryTableField id="30" name="net_price" tableColumnId="30"/>
      <queryTableField id="31" name="external_index_data.min_price" tableColumnId="31"/>
      <queryTableField id="32" name="external_index_data.min_price_currency" tableColumnId="32"/>
      <queryTableField id="33" name="external_index_data.price_index_value" tableColumnId="33"/>
      <queryTableField id="34" name="ozon_index_data.min_price" tableColumnId="34"/>
      <queryTableField id="35" name="ozon_index_data.min_price_currency" tableColumnId="35"/>
      <queryTableField id="36" name="ozon_index_data.price_index_value" tableColumnId="36"/>
      <queryTableField id="37" name="color_index" tableColumnId="37"/>
      <queryTableField id="38" name="self_marketplaces_index_data.min_price" tableColumnId="38"/>
      <queryTableField id="39" name="self_marketplaces_index_data.min_price_currency" tableColumnId="39"/>
      <queryTableField id="40" name="self_marketplaces_index_data.price_index_value" tableColumnId="40"/>
      <queryTableField id="41" name="reward_ozon" tableColumnId="41"/>
      <queryTableField id="42" name="cost_of_fbo_min" tableColumnId="42"/>
      <queryTableField id="43" name="cost_of_fbo_max" tableColumnId="43"/>
      <queryTableField id="52" name="cost_of_fbo_mean" tableColumnId="49"/>
      <queryTableField id="45" name="margin_max" tableColumnId="45"/>
      <queryTableField id="44" name="margin_min" tableColumnId="44"/>
      <queryTableField id="46" name="marginality_min" tableColumnId="46"/>
      <queryTableField id="51" name="marginality_max" tableColumnId="48"/>
      <queryTableField id="54" name="coef_for_min_price" tableColumnId="50"/>
      <queryTableField id="55" name="min_price_set" tableColumnId="51"/>
      <queryTableField id="56" name="coef_for_price_stock" tableColumnId="52"/>
      <queryTableField id="57" name="price_set_stock" tableColumnId="5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6F3F00A1-104B-4267-B46D-E582FF7D81B0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product_id" tableColumnId="2"/>
      <queryTableField id="3" name="min_price_for_auto_actions_enabled" tableColumnId="3"/>
      <queryTableField id="4" name="expired_at" tableColumnId="4"/>
      <queryTableField id="5" name="date_now" tableColumnId="5"/>
      <queryTableField id="6" name="Осталось дней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E557CA1-E6D8-4222-ADF8-249753C935C9}" autoFormatId="16" applyNumberFormats="0" applyBorderFormats="0" applyFontFormats="0" applyPatternFormats="0" applyAlignmentFormats="0" applyWidthHeightFormats="0">
  <queryTableRefresh nextId="3">
    <queryTableFields count="1">
      <queryTableField id="2" name="Обновить срок минимальную цену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6191B771-5CD3-4AB4-B19B-6BF93425A88F}" autoFormatId="16" applyNumberFormats="0" applyBorderFormats="0" applyFontFormats="0" applyPatternFormats="0" applyAlignmentFormats="0" applyWidthHeightFormats="0">
  <queryTableRefresh nextId="7">
    <queryTableFields count="6">
      <queryTableField id="1" name="Name"/>
      <queryTableField id="2" name="product_id"/>
      <queryTableField id="3" name="offer_id"/>
      <queryTableField id="4" name="updated"/>
      <queryTableField id="5" name="code"/>
      <queryTableField id="6" name="message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3854CC33-7FE7-42DE-8744-2C8D5BADD30A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product_id" tableColumnId="2"/>
      <queryTableField id="3" name="offer_id" tableColumnId="3"/>
      <queryTableField id="4" name="updated" tableColumnId="4"/>
      <queryTableField id="5" name="code" tableColumnId="5"/>
      <queryTableField id="6" name="messag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722BF3C-E2C3-4B83-B059-F318A82D3C80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Артикул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FB368D1-37FE-42A4-9C06-117119F6B66B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Артикул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97261D3F-6747-4255-A000-C5F6A17A1244}" autoFormatId="16" applyNumberFormats="0" applyBorderFormats="0" applyFontFormats="0" applyPatternFormats="0" applyAlignmentFormats="0" applyWidthHeightFormats="0">
  <queryTableRefresh nextId="21">
    <queryTableFields count="20">
      <queryTableField id="1" name="id" tableColumnId="1"/>
      <queryTableField id="2" name="barcode" tableColumnId="2"/>
      <queryTableField id="3" name="name" tableColumnId="3"/>
      <queryTableField id="4" name="offer_id" tableColumnId="4"/>
      <queryTableField id="5" name="height" tableColumnId="5"/>
      <queryTableField id="6" name="depth" tableColumnId="6"/>
      <queryTableField id="7" name="width" tableColumnId="7"/>
      <queryTableField id="8" name="dimension_unit" tableColumnId="8"/>
      <queryTableField id="9" name="weight" tableColumnId="9"/>
      <queryTableField id="10" name="weight_unit" tableColumnId="10"/>
      <queryTableField id="11" name="description_category_id" tableColumnId="11"/>
      <queryTableField id="12" name="type_id" tableColumnId="12"/>
      <queryTableField id="13" name="primary_image" tableColumnId="13"/>
      <queryTableField id="14" name="model_id" tableColumnId="14"/>
      <queryTableField id="15" name="count" tableColumnId="15"/>
      <queryTableField id="16" name="attributes" tableColumnId="16"/>
      <queryTableField id="17" name="complex_attributes" tableColumnId="17"/>
      <queryTableField id="18" name="color_image" tableColumnId="18"/>
      <queryTableField id="19" name="sku" tableColumnId="19"/>
      <queryTableField id="20" name="flag_actual_sku" tableColumnId="2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097DFD85-848F-48CB-B1BF-33B0A304EE7A}" autoFormatId="16" applyNumberFormats="0" applyBorderFormats="0" applyFontFormats="0" applyPatternFormats="0" applyAlignmentFormats="0" applyWidthHeightFormats="0">
  <queryTableRefresh nextId="20">
    <queryTableFields count="19">
      <queryTableField id="1" name="id" tableColumnId="1"/>
      <queryTableField id="2" name="barcode" tableColumnId="2"/>
      <queryTableField id="3" name="name" tableColumnId="3"/>
      <queryTableField id="4" name="offer_id" tableColumnId="4"/>
      <queryTableField id="5" name="height" tableColumnId="5"/>
      <queryTableField id="6" name="depth" tableColumnId="6"/>
      <queryTableField id="7" name="width" tableColumnId="7"/>
      <queryTableField id="8" name="dimension_unit" tableColumnId="8"/>
      <queryTableField id="9" name="weight" tableColumnId="9"/>
      <queryTableField id="10" name="weight_unit" tableColumnId="10"/>
      <queryTableField id="11" name="description_category_id" tableColumnId="11"/>
      <queryTableField id="12" name="type_id" tableColumnId="12"/>
      <queryTableField id="13" name="primary_image" tableColumnId="13"/>
      <queryTableField id="14" name="model_id" tableColumnId="14"/>
      <queryTableField id="15" name="count" tableColumnId="15"/>
      <queryTableField id="16" name="attributes" tableColumnId="16"/>
      <queryTableField id="17" name="complex_attributes" tableColumnId="17"/>
      <queryTableField id="18" name="color_image" tableColumnId="18"/>
      <queryTableField id="19" name="sku" tableColumnId="1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227ED76-FFCB-4A2C-BD21-772DE097CCF4}" name="Таблица8" displayName="Таблица8" ref="A1:R234" totalsRowShown="0">
  <autoFilter ref="A1:R234" xr:uid="{0227ED76-FFCB-4A2C-BD21-772DE097CCF4}"/>
  <tableColumns count="18">
    <tableColumn id="1" xr3:uid="{9DFE4948-FBBA-4B55-9279-FD769F8DAA2A}" name="Артикул" dataDxfId="55"/>
    <tableColumn id="2" xr3:uid="{B06E9C4B-2890-4A28-8B39-BB749E494732}" name="Наименование товара" dataDxfId="54">
      <calculatedColumnFormula>VLOOKUP($A2,'Список товаров'!A:E,5,0)</calculatedColumnFormula>
    </tableColumn>
    <tableColumn id="3" xr3:uid="{6FA00C6D-D6F9-4327-AEBC-B7614D84F629}" name="Дата покупки" dataDxfId="53"/>
    <tableColumn id="4" xr3:uid="{7AF88501-9A56-4111-9AF4-2279FF17C749}" name="Количество" dataDxfId="52"/>
    <tableColumn id="5" xr3:uid="{9C368100-0336-4313-8188-AE56A6918C6C}" name="Принято" dataDxfId="51"/>
    <tableColumn id="6" xr3:uid="{992BD877-8977-4B95-89D4-4FE2931F5947}" name="Брак" dataDxfId="50"/>
    <tableColumn id="18" xr3:uid="{FA529216-136A-4C94-B176-001ED5902BDC}" name="Соотвествие" dataDxfId="49">
      <calculatedColumnFormula>Таблица8[[#This Row],[Количество]]=Таблица8[[#This Row],[Принято]]+Таблица8[[#This Row],[Брак]]</calculatedColumnFormula>
    </tableColumn>
    <tableColumn id="7" xr3:uid="{603BA1AA-E924-4E02-ADD4-1A159E103FD0}" name="Цена покупки CNY за единицу" dataDxfId="48"/>
    <tableColumn id="17" xr3:uid="{E4E796E2-E2C3-4E6F-85F3-B6A2C277E9BE}" name="Цена покупки CNY" dataDxfId="47">
      <calculatedColumnFormula>Таблица8[[#This Row],[Количество]]*Таблица8[[#This Row],[Цена покупки CNY за единицу]]</calculatedColumnFormula>
    </tableColumn>
    <tableColumn id="8" xr3:uid="{BA58A5FE-584B-4627-9043-6E1AC86DFA3E}" name="Курс CNY" dataDxfId="46">
      <calculatedColumnFormula>SUMIFS(Курсы_валют!E:E,Курсы_валют!B:B,"CNY")+0.3</calculatedColumnFormula>
    </tableColumn>
    <tableColumn id="9" xr3:uid="{88F6FB6F-2CCB-406C-9AB9-7F1657CD9EE0}" name="Цена покупки USD"/>
    <tableColumn id="10" xr3:uid="{AB12B842-37C0-428E-871A-072F3B4D2A9E}" name="Курс USD" dataDxfId="45">
      <calculatedColumnFormula>SUMIFS(Курсы_валют!E:E,Курсы_валют!B:B,"USD")</calculatedColumnFormula>
    </tableColumn>
    <tableColumn id="11" xr3:uid="{F0BBA5B5-8012-417E-9AB1-01BF29620D73}" name="Цена покупки Руб" dataDxfId="44" dataCellStyle="Финансовый"/>
    <tableColumn id="12" xr3:uid="{26A80E9E-CDB7-4D96-BEEA-8972121B2249}" name="цена за ед. руб." dataDxfId="43" dataCellStyle="Финансовый"/>
    <tableColumn id="13" xr3:uid="{58096DBE-2698-4C99-B0C8-EE94D80D4648}" name="Номер поставки"/>
    <tableColumn id="14" xr3:uid="{34E8F8F3-A985-4A3F-9BFF-518482FA8FEE}" name="Вес заказа, кг." dataDxfId="42"/>
    <tableColumn id="15" xr3:uid="{EFF979C4-CE96-4C64-90C2-78278EEB1F6A}" name="Стоимость доставки за ед."/>
    <tableColumn id="16" xr3:uid="{80E6E063-7FB4-4E6E-A7A1-74769F997FAC}" name="Итого за ед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230757-6153-4101-80C4-E8B048D0D6EB}" name="Список_товар_API" displayName="Список_товар_API" ref="A1:Z104" tableType="queryTable" totalsRowShown="0">
  <autoFilter ref="A1:Z104" xr:uid="{F5230757-6153-4101-80C4-E8B048D0D6EB}">
    <filterColumn colId="18">
      <filters>
        <filter val="actual"/>
      </filters>
    </filterColumn>
  </autoFilter>
  <tableColumns count="26">
    <tableColumn id="2" xr3:uid="{82B862CD-632D-4C77-A854-69F50429F7AB}" uniqueName="2" name="Артикул" queryTableFieldId="2"/>
    <tableColumn id="1" xr3:uid="{7DC4C921-B18D-49F5-86E7-ACF54263CFE1}" uniqueName="1" name="ID" queryTableFieldId="1"/>
    <tableColumn id="18" xr3:uid="{195E33B6-61ED-4EB2-9F03-A4A5156B6758}" uniqueName="18" name="sku" queryTableFieldId="18"/>
    <tableColumn id="3" xr3:uid="{3992F48B-0F76-496D-ABFE-E192497157C9}" uniqueName="3" name="barcode" queryTableFieldId="3"/>
    <tableColumn id="4" xr3:uid="{839B7DA1-A503-4178-B8EF-03841F4096D4}" uniqueName="4" name="name" queryTableFieldId="4"/>
    <tableColumn id="5" xr3:uid="{5CE482C6-8625-4829-9735-EB89BA06055E}" uniqueName="5" name="offer_id" queryTableFieldId="5"/>
    <tableColumn id="6" xr3:uid="{8877B3B6-9493-46FF-9D21-EEA589B5F89D}" uniqueName="6" name="height" queryTableFieldId="6"/>
    <tableColumn id="7" xr3:uid="{204A0CF8-5E4F-42F0-8566-8C04934E866E}" uniqueName="7" name="depth" queryTableFieldId="7"/>
    <tableColumn id="8" xr3:uid="{D2AE76EB-48A2-4269-B77B-63D3F1D6AAFC}" uniqueName="8" name="width" queryTableFieldId="8"/>
    <tableColumn id="9" xr3:uid="{8E5D8B60-A265-474C-B1B4-E8969CC9B214}" uniqueName="9" name="dimension_unit" queryTableFieldId="9"/>
    <tableColumn id="10" xr3:uid="{E5803B0C-13ED-4C78-8103-61ECD5B7BF65}" uniqueName="10" name="weight" queryTableFieldId="10"/>
    <tableColumn id="11" xr3:uid="{A63F51A8-B395-49D5-8C02-20F202C31115}" uniqueName="11" name="weight_unit" queryTableFieldId="11"/>
    <tableColumn id="12" xr3:uid="{781C0373-713D-4BD2-9621-4EE99A83F436}" uniqueName="12" name="description_category_id" queryTableFieldId="12"/>
    <tableColumn id="13" xr3:uid="{41D1FA14-81F7-4D5C-94F7-8BF7E65BCDC7}" uniqueName="13" name="type_id" queryTableFieldId="13"/>
    <tableColumn id="14" xr3:uid="{C5F2977E-690F-4B0C-806F-F2222D7FC4C8}" uniqueName="14" name="primary_image" queryTableFieldId="14"/>
    <tableColumn id="15" xr3:uid="{A16D3C7A-DDEE-4E1D-80DE-F3DE0E71E748}" uniqueName="15" name="model_id" queryTableFieldId="15"/>
    <tableColumn id="16" xr3:uid="{05D2BEC6-6193-4926-B146-222BBD65B9AF}" uniqueName="16" name="count" queryTableFieldId="16"/>
    <tableColumn id="17" xr3:uid="{4BDCFF34-CF02-45B0-AED9-BBA248901D3E}" uniqueName="17" name="color_image" queryTableFieldId="17"/>
    <tableColumn id="21" xr3:uid="{26B91AD4-32F3-4076-9915-4FBDBCDD03C0}" uniqueName="21" name="flag_actual_sku" queryTableFieldId="28"/>
    <tableColumn id="19" xr3:uid="{C9C19D32-8E3A-47AB-B33A-A38A9EF55C84}" uniqueName="19" name="Дата актуальности" queryTableFieldId="21" dataDxfId="41">
      <calculatedColumnFormula array="1">MAX(IF(('История закупоку BUYER'!$R:$R&gt;0)*('История закупоку BUYER'!$A:$A=Список_товар_API[[#This Row],[Артикул]]),'История закупоку BUYER'!$C:$C))</calculatedColumnFormula>
    </tableColumn>
    <tableColumn id="20" xr3:uid="{057CDCBF-05BE-4F5B-840C-0A2CEC17DA92}" uniqueName="20" name="Цена из заказа" queryTableFieldId="22" dataDxfId="40" dataCellStyle="Финансовый">
      <calculatedColumnFormula>+IFERROR(AVERAGEIFS('История закупоку BUYER'!R:R,'История закупоку BUYER'!A:A,A2,'История закупоку BUYER'!C:C,T2)+Список_товар_API[[#This Row],[Цена упаковки]]+Список_товар_API[[#This Row],[цена доставки]]+Список_товар_API[[#This Row],[Цена честного знака]],0)</calculatedColumnFormula>
    </tableColumn>
    <tableColumn id="22" xr3:uid="{971A98CE-3E01-44A8-97BE-DC9FD55A12BF}" uniqueName="22" name="Минимальная цена" queryTableFieldId="24" dataDxfId="39">
      <calculatedColumnFormula>VLOOKUP(Список_товар_API[[#This Row],[Артикул]],Стоимости_товаров_OZON[],24,0)</calculatedColumnFormula>
    </tableColumn>
    <tableColumn id="23" xr3:uid="{FAABAB1E-F209-4078-AC8D-DDE68695AF35}" uniqueName="23" name="Наша цена" queryTableFieldId="25" dataDxfId="38" dataCellStyle="Финансовый">
      <calculatedColumnFormula>VLOOKUP(Список_товар_API[[#This Row],[Артикул]],Стоимости_товаров_OZON[],26,0)</calculatedColumnFormula>
    </tableColumn>
    <tableColumn id="24" xr3:uid="{C86B500F-BB70-4D7E-9241-27D66730CA59}" uniqueName="24" name="Цена упаковки" queryTableFieldId="29"/>
    <tableColumn id="25" xr3:uid="{8B14779D-0E13-4983-9174-6CE77158C5B8}" uniqueName="25" name="цена доставки" queryTableFieldId="30"/>
    <tableColumn id="26" xr3:uid="{634EC0B7-9C7E-41C2-AC6B-92E0D43AD473}" uniqueName="26" name="Цена честного знака" queryTableFieldId="3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6CB037-0D22-478D-AA57-FB55EC39E137}" name="Обновление_цен" displayName="Обновление_цен" ref="A1:O104" totalsRowShown="0">
  <autoFilter ref="A1:O104" xr:uid="{B86CB037-0D22-478D-AA57-FB55EC39E137}"/>
  <sortState xmlns:xlrd2="http://schemas.microsoft.com/office/spreadsheetml/2017/richdata2" ref="A2:O104">
    <sortCondition ref="F1:F104"/>
  </sortState>
  <tableColumns count="15">
    <tableColumn id="1" xr3:uid="{C98B1057-1363-4E11-92CD-FB5E1EA0FB69}" name="Артикул"/>
    <tableColumn id="2" xr3:uid="{BC458009-BECE-4598-B7E0-C82742AD6C47}" name="ID"/>
    <tableColumn id="3" xr3:uid="{8F9450D4-4FB7-440F-908C-40D01B6B6B23}" name="sku"/>
    <tableColumn id="4" xr3:uid="{9BDE954F-E459-4261-94E6-F0AE0B8D8BC4}" name="barcode"/>
    <tableColumn id="5" xr3:uid="{E0073960-AC18-47D5-9611-4876B7642CC6}" name="name"/>
    <tableColumn id="15" xr3:uid="{8FEA8C2A-A496-449A-85A6-691271C6CCDF}" name="Активный" dataDxfId="37">
      <calculatedColumnFormula>UPPER(VLOOKUP(Обновление_цен[[#This Row],[Артикул]],Список_товар_API[],19,0))</calculatedColumnFormula>
    </tableColumn>
    <tableColumn id="11" xr3:uid="{D50152A2-E7C6-4A8D-923C-087500668DCC}" name="Сечйчас участвуем в акциях" dataDxfId="36">
      <calculatedColumnFormula>IF(OR(VLOOKUP(Обновление_цен[[#This Row],[Артикул]],Стоимости_товаров_OZON[],19,0),VLOOKUP(Обновление_цен[[#This Row],[Артикул]],Стоимости_товаров_OZON[],20,0)),"ENABLED","DISABLED")</calculatedColumnFormula>
    </tableColumn>
    <tableColumn id="6" xr3:uid="{7A58263F-715A-44B5-B5C8-A686CAF47CC1}" name="Участвуем в акции" dataDxfId="35"/>
    <tableColumn id="7" xr3:uid="{9B8198A7-BB03-4E6F-A67B-E2249D68BE1E}" name="Себестоимость" dataDxfId="34" dataCellStyle="Финансовый">
      <calculatedColumnFormula>VLOOKUP(Обновление_цен[[#This Row],[Артикул]],Список_товар_API[],21,0)</calculatedColumnFormula>
    </tableColumn>
    <tableColumn id="12" xr3:uid="{5D9F077B-9826-4140-BE30-13FBFDB4EFFA}" name="Сейчас Минимальная цена" dataDxfId="33" dataCellStyle="Финансовый">
      <calculatedColumnFormula>VLOOKUP(Обновление_цен[[#This Row],[Артикул]],Стоимости_товаров_OZON[],24,0)</calculatedColumnFormula>
    </tableColumn>
    <tableColumn id="8" xr3:uid="{A03F7E11-7BD0-45C0-B53D-A81F579C1C7A}" name="Минимальная цена" dataDxfId="32" dataCellStyle="Финансовый">
      <calculatedColumnFormula>ROUNDUP(VLOOKUP(Обновление_цен[[#This Row],[Артикул]],Стоимости_товаров_OZON[],50,0),0)</calculatedColumnFormula>
    </tableColumn>
    <tableColumn id="13" xr3:uid="{80B6DA20-0A16-4F78-ADE7-3798D8A2CDE4}" name="Сейчас Наша цена" dataDxfId="31" dataCellStyle="Финансовый">
      <calculatedColumnFormula>VLOOKUP(Обновление_цен[[#This Row],[Артикул]],Стоимости_товаров_OZON[],26,0)</calculatedColumnFormula>
    </tableColumn>
    <tableColumn id="9" xr3:uid="{0F9DA259-B5C5-4946-9247-3BB4634CE0AB}" name="Наша цена" dataCellStyle="Финансовый">
      <calculatedColumnFormula>VLOOKUP(Обновление_цен[[#This Row],[Артикул]],Стоимости_товаров_OZON[],52,0)</calculatedColumnFormula>
    </tableColumn>
    <tableColumn id="14" xr3:uid="{C7DDC15E-8C10-4BE9-837D-1383AFA6A0E1}" name="Сейчас Цена до скидки" dataDxfId="30" dataCellStyle="Финансовый">
      <calculatedColumnFormula>VLOOKUP(Обновление_цен[[#This Row],[Артикул]],Стоимости_товаров_OZON[],25,0)</calculatedColumnFormula>
    </tableColumn>
    <tableColumn id="10" xr3:uid="{AEC54908-3644-4D33-9077-25A92B2DF301}" name="Цена до скидки" dataDxfId="29" dataCellStyle="Финансовый">
      <calculatedColumnFormula>(Обновление_цен[[#This Row],[Себестоимость]]*4.5)+200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8EA9732-5DE4-4AA1-9B60-0ACEC4AEB9B4}" name="Курсы_валют" displayName="Курсы_валют" ref="A1:F4" tableType="queryTable" totalsRowShown="0">
  <autoFilter ref="A1:F4" xr:uid="{C8EA9732-5DE4-4AA1-9B60-0ACEC4AEB9B4}"/>
  <tableColumns count="6">
    <tableColumn id="1" xr3:uid="{251172AA-0AE1-4790-8BCC-0FC924BEC6BD}" uniqueName="1" name="Цифр. код" queryTableFieldId="1"/>
    <tableColumn id="2" xr3:uid="{82654A50-9347-4D63-A8DA-1F7C6868DF8A}" uniqueName="2" name="Букв. код" queryTableFieldId="2" dataDxfId="28"/>
    <tableColumn id="3" xr3:uid="{8C4A41DB-41C3-4274-80CA-6D87B44C6D7F}" uniqueName="3" name="Единиц" queryTableFieldId="3"/>
    <tableColumn id="4" xr3:uid="{CB066DF1-7EFE-4130-9F11-572B32E4E358}" uniqueName="4" name="Валюта" queryTableFieldId="4" dataDxfId="27"/>
    <tableColumn id="5" xr3:uid="{6B105E6B-F20A-46B6-95FB-7CC1AE90E8F3}" uniqueName="5" name="Курс" queryTableFieldId="5"/>
    <tableColumn id="6" xr3:uid="{2C1FBB73-BEDD-4DAF-A95B-64A0F291A6BE}" uniqueName="6" name="Дата" queryTableFieldId="6" dataDxfId="2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94BDFC-12ED-44E0-AF3C-632E293BAAD3}" name="Аналитика_по_остаткам" displayName="Аналитика_по_остаткам" ref="A1:X218" tableType="queryTable" totalsRowShown="0">
  <autoFilter ref="A1:X218" xr:uid="{4794BDFC-12ED-44E0-AF3C-632E293BAAD3}"/>
  <tableColumns count="24">
    <tableColumn id="1" xr3:uid="{2619ADB5-EBD2-43E4-937D-75E5DEED28B2}" uniqueName="1" name="sku" queryTableFieldId="1"/>
    <tableColumn id="2" xr3:uid="{B3038A20-A985-4479-BDAD-6C48CAECAB72}" uniqueName="2" name="name" queryTableFieldId="2"/>
    <tableColumn id="3" xr3:uid="{F5191FFB-02A4-4574-982F-24ABA90673B3}" uniqueName="3" name="offer_id" queryTableFieldId="3"/>
    <tableColumn id="4" xr3:uid="{21BEBDD9-33C0-4D01-83DD-F5D31F387068}" uniqueName="4" name="warehouse_id" queryTableFieldId="4"/>
    <tableColumn id="5" xr3:uid="{2045F588-04F9-4177-9458-A4BF2137FB48}" uniqueName="5" name="warehouse_name" queryTableFieldId="5"/>
    <tableColumn id="6" xr3:uid="{75A7DD1F-314F-4418-8706-57C578DA08D2}" uniqueName="6" name="cluster_id" queryTableFieldId="6"/>
    <tableColumn id="7" xr3:uid="{2D47DE03-FD8F-4C15-AECB-895DC5AEDFC4}" uniqueName="7" name="cluster_name" queryTableFieldId="7"/>
    <tableColumn id="8" xr3:uid="{9E0EC741-B967-4918-A1A6-9211B2E342D9}" uniqueName="8" name="item_tags" queryTableFieldId="8" dataDxfId="12"/>
    <tableColumn id="9" xr3:uid="{EEEED30B-16DA-4546-AC99-318D417B196D}" uniqueName="9" name="ads" queryTableFieldId="9"/>
    <tableColumn id="10" xr3:uid="{B873D3C0-5A6B-47D2-AFCE-9FE79191981C}" uniqueName="10" name="days_without_sales" queryTableFieldId="10"/>
    <tableColumn id="11" xr3:uid="{ADA64298-F7A5-44A4-A317-C543E2B73A8B}" uniqueName="11" name="turnover_grade" queryTableFieldId="11"/>
    <tableColumn id="12" xr3:uid="{6A328754-B130-4A63-AFD1-5B0CF9825B93}" uniqueName="12" name="idc" queryTableFieldId="12"/>
    <tableColumn id="13" xr3:uid="{E9F5970F-3F4D-4F03-B868-76349506837D}" uniqueName="13" name="available_stock_count" queryTableFieldId="13"/>
    <tableColumn id="14" xr3:uid="{C8974B73-5BFE-4B1F-9F44-762EB0570F09}" uniqueName="14" name="valid_stock_count" queryTableFieldId="14"/>
    <tableColumn id="15" xr3:uid="{F9726F1A-3BFD-4680-9A5A-C407EA5C2FFE}" uniqueName="15" name="waiting_docs_stock_count" queryTableFieldId="15"/>
    <tableColumn id="16" xr3:uid="{737E7DBD-AFAE-4868-87BD-ECEC4FADA9D7}" uniqueName="16" name="expiring_stock_count" queryTableFieldId="16"/>
    <tableColumn id="17" xr3:uid="{ADE57457-A1D0-4E44-B12B-26ED3C421914}" uniqueName="17" name="transit_defect_stock_count" queryTableFieldId="17"/>
    <tableColumn id="18" xr3:uid="{5EFB5F00-3330-4323-8FE0-21C9A126E35D}" uniqueName="18" name="stock_defect_stock_count" queryTableFieldId="18"/>
    <tableColumn id="19" xr3:uid="{19ABF02C-11D0-48F5-8865-3248E60E3F73}" uniqueName="19" name="excess_stock_count" queryTableFieldId="19"/>
    <tableColumn id="20" xr3:uid="{1CB3D5E3-DAB7-489E-88DC-CD37E5A454BF}" uniqueName="20" name="other_stock_count" queryTableFieldId="20"/>
    <tableColumn id="21" xr3:uid="{A3F10E8C-F591-4697-A3BB-C2394B63EA4C}" uniqueName="21" name="requested_stock_count" queryTableFieldId="21"/>
    <tableColumn id="22" xr3:uid="{357B0253-F18B-41B8-B885-7AA0E7D30CBB}" uniqueName="22" name="transit_stock_count" queryTableFieldId="22"/>
    <tableColumn id="23" xr3:uid="{DF1F483C-2D89-4196-892F-967014DEC7CE}" uniqueName="23" name="return_from_customer_stock_count" queryTableFieldId="23"/>
    <tableColumn id="24" xr3:uid="{B020A77E-5D36-4A19-B874-3E79667697CB}" uniqueName="24" name="return_to_seller_stock_count" queryTableField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95E195-C00A-448E-A915-7804EDFF0E86}" name="Стоимости_товаров_OZON" displayName="Стоимости_товаров_OZON" ref="A1:AZ104" tableType="queryTable" totalsRowShown="0">
  <autoFilter ref="A1:AZ104" xr:uid="{0095E195-C00A-448E-A915-7804EDFF0E86}"/>
  <tableColumns count="52">
    <tableColumn id="2" xr3:uid="{3286B435-B245-4F52-9575-85165966F51E}" uniqueName="2" name="offer_id" queryTableFieldId="2"/>
    <tableColumn id="1" xr3:uid="{C6DE53FB-9DDB-48B5-BC05-8785FFF53A95}" uniqueName="1" name="acquiring" queryTableFieldId="1"/>
    <tableColumn id="3" xr3:uid="{5F2B8805-525A-4AA0-8F64-DDBAD13E2103}" uniqueName="3" name="product_id" queryTableFieldId="3"/>
    <tableColumn id="4" xr3:uid="{3FB76E6C-3B9F-4CC0-A200-70933BE5C0D5}" uniqueName="4" name="volume_weight" queryTableFieldId="4"/>
    <tableColumn id="5" xr3:uid="{EDF4FF17-E945-41C0-8C00-4461F37720A3}" uniqueName="5" name="fbo_deliv_to_customer_amount" queryTableFieldId="5"/>
    <tableColumn id="6" xr3:uid="{736442E2-2A2D-44E2-B1A8-5C2AF7E49525}" uniqueName="6" name="fbo_direct_flow_trans_max_amount" queryTableFieldId="6"/>
    <tableColumn id="7" xr3:uid="{34DFDF11-8B6F-4A2C-9FA7-96BA2F123B70}" uniqueName="7" name="fbo_direct_flow_trans_min_amount" queryTableFieldId="7"/>
    <tableColumn id="8" xr3:uid="{74D23A4A-C1DD-4D0C-94F7-F862131EFBFA}" uniqueName="8" name="fbo_return_flow_amount" queryTableFieldId="8"/>
    <tableColumn id="9" xr3:uid="{704ED198-E824-45F7-ABFE-C462E1CBFA66}" uniqueName="9" name="fbs_deliv_to_customer_amount" queryTableFieldId="9"/>
    <tableColumn id="10" xr3:uid="{997CD664-3D66-44F4-A458-2FB116B8FE6C}" uniqueName="10" name="fbs_direct_flow_trans_min_amount" queryTableFieldId="10"/>
    <tableColumn id="11" xr3:uid="{9DBAABEC-85FC-445F-B0A1-1C2DC342F959}" uniqueName="11" name="fbs_direct_flow_trans_max_amount" queryTableFieldId="11"/>
    <tableColumn id="12" xr3:uid="{ED579913-240D-4845-B70B-82F02A74ECAB}" uniqueName="12" name="fbs_first_mile_max_amount" queryTableFieldId="12"/>
    <tableColumn id="13" xr3:uid="{ACA190E3-F2E8-41DE-BC29-1BBFC5F1A094}" uniqueName="13" name="fbs_first_mile_min_amount" queryTableFieldId="13"/>
    <tableColumn id="14" xr3:uid="{0BFFAF88-6DF5-426D-952D-15A6EF9B8139}" uniqueName="14" name="fbs_return_flow_amount" queryTableFieldId="14"/>
    <tableColumn id="15" xr3:uid="{C7EE3BAA-3ED3-4832-80B8-1A52835DFF1B}" uniqueName="15" name="sales_percent_fbo" queryTableFieldId="15"/>
    <tableColumn id="16" xr3:uid="{41ED0202-334C-4A58-A51C-EEB9FE2C2E74}" uniqueName="16" name="sales_percent_fbs" queryTableFieldId="16"/>
    <tableColumn id="17" xr3:uid="{496F18FB-4362-49F1-9605-B91E0C3ECCF3}" uniqueName="17" name="current_period_from" queryTableFieldId="17"/>
    <tableColumn id="18" xr3:uid="{83241CA3-B511-44C7-A573-87C7E41DFA5A}" uniqueName="18" name="current_period_to" queryTableFieldId="18"/>
    <tableColumn id="19" xr3:uid="{D60E5613-B99B-4BD1-813D-60B8629C0A75}" uniqueName="19" name="ozon_actions_exist" queryTableFieldId="19"/>
    <tableColumn id="20" xr3:uid="{5678D3E0-97CA-4D8D-A7C8-B63C5CC78006}" uniqueName="20" name="auto_action_enabled" queryTableFieldId="20"/>
    <tableColumn id="21" xr3:uid="{A0DF7604-8F13-4C02-9F2E-340BD7BAA1F9}" uniqueName="21" name="currency_code" queryTableFieldId="21"/>
    <tableColumn id="22" xr3:uid="{2A69E843-64B8-4BD0-A963-AA05C2C223CD}" uniqueName="22" name="marketing_price" queryTableFieldId="22"/>
    <tableColumn id="23" xr3:uid="{A6FD4203-56B5-42BE-AB51-CF748B27B923}" uniqueName="23" name="marketing_seller_price" queryTableFieldId="23"/>
    <tableColumn id="24" xr3:uid="{7CF00F15-48B7-484B-8475-717836C28367}" uniqueName="24" name="min_price" queryTableFieldId="24"/>
    <tableColumn id="25" xr3:uid="{E7E41B34-8890-444F-A1A7-AB0D78E46AB3}" uniqueName="25" name="old_price" queryTableFieldId="25"/>
    <tableColumn id="26" xr3:uid="{75D3BF8A-3E60-4D8E-9142-63FC131C6D7B}" uniqueName="26" name="price.1" queryTableFieldId="26"/>
    <tableColumn id="27" xr3:uid="{AD4DB3CE-0A63-4FA2-B061-1E015FE38C48}" uniqueName="27" name="retail_price" queryTableFieldId="27"/>
    <tableColumn id="28" xr3:uid="{E99DC981-D6A1-457B-9149-A36C0A1FEA20}" uniqueName="28" name="vat" queryTableFieldId="28"/>
    <tableColumn id="29" xr3:uid="{EF01A879-1B2A-4158-AB94-D4A555B7C003}" uniqueName="29" name="auto_add_to_ozon_actions_list_enabled" queryTableFieldId="29"/>
    <tableColumn id="30" xr3:uid="{9DDADEB2-F463-498B-A7CE-840DF530ABCE}" uniqueName="30" name="net_price" queryTableFieldId="30"/>
    <tableColumn id="31" xr3:uid="{EB72574E-5CD9-417F-AD59-61BECF42D374}" uniqueName="31" name="external_index_data.min_price" queryTableFieldId="31"/>
    <tableColumn id="32" xr3:uid="{CA8F3302-39D7-4B84-8F7C-413872B6796B}" uniqueName="32" name="external_index_data.min_price_currency" queryTableFieldId="32"/>
    <tableColumn id="33" xr3:uid="{13861AD0-7E36-473C-A472-E05E049FC47A}" uniqueName="33" name="external_index_data.price_index_value" queryTableFieldId="33"/>
    <tableColumn id="34" xr3:uid="{1CA3CE89-6024-4C02-BA5A-AD187B176E39}" uniqueName="34" name="ozon_index_data.min_price" queryTableFieldId="34"/>
    <tableColumn id="35" xr3:uid="{9314AA7E-94E9-4C1D-91D6-EA559AC925F8}" uniqueName="35" name="ozon_index_data.min_price_currency" queryTableFieldId="35"/>
    <tableColumn id="36" xr3:uid="{E4D948EA-EA36-4FDE-A992-11F9CB1A4BC9}" uniqueName="36" name="ozon_index_data.price_index_value" queryTableFieldId="36"/>
    <tableColumn id="37" xr3:uid="{8793B392-72D8-4260-9507-163DBAF0737D}" uniqueName="37" name="color_index" queryTableFieldId="37"/>
    <tableColumn id="38" xr3:uid="{59D0AF40-25BE-407E-9B9E-AC3BA90E07C6}" uniqueName="38" name="self_marketplaces_index_data.min_price" queryTableFieldId="38"/>
    <tableColumn id="39" xr3:uid="{3CC03277-5517-4D7D-9EB2-E7F12171A1B8}" uniqueName="39" name="self_marketplaces_index_data.min_price_currency" queryTableFieldId="39"/>
    <tableColumn id="40" xr3:uid="{FD11D883-1461-452F-B25B-22E06EBE17D1}" uniqueName="40" name="self_marketplaces_index_data.price_index_value" queryTableFieldId="40"/>
    <tableColumn id="41" xr3:uid="{49D74ADD-64AA-495B-BDFC-C3653CEAEC34}" uniqueName="41" name="reward_ozon" queryTableFieldId="41" dataDxfId="11" dataCellStyle="Финансовый"/>
    <tableColumn id="42" xr3:uid="{FCC2247F-59D5-4B0A-A24E-FD76C192FAAB}" uniqueName="42" name="cost_of_fbo_min" queryTableFieldId="42" dataDxfId="10" dataCellStyle="Финансовый"/>
    <tableColumn id="43" xr3:uid="{1CE920FE-1807-4F23-BDEB-F2A4F257238C}" uniqueName="43" name="cost_of_fbo_max" queryTableFieldId="43" dataDxfId="9" dataCellStyle="Финансовый"/>
    <tableColumn id="49" xr3:uid="{349B4B24-4ABA-4F28-BE56-9816C8B2FDE6}" uniqueName="49" name="cost_of_fbo_mean" queryTableFieldId="52" dataDxfId="8" dataCellStyle="Финансовый"/>
    <tableColumn id="45" xr3:uid="{A76DE627-D956-4C89-BB89-18E845664898}" uniqueName="45" name="margin_max" queryTableFieldId="45" dataDxfId="7" dataCellStyle="Финансовый"/>
    <tableColumn id="44" xr3:uid="{0021CC2F-0722-4415-BCBB-04B2E3ECC96A}" uniqueName="44" name="margin_min" queryTableFieldId="44" dataDxfId="6" dataCellStyle="Финансовый"/>
    <tableColumn id="46" xr3:uid="{05A00701-3BAD-4F82-82ED-1C765B7920B9}" uniqueName="46" name="marginality_min" queryTableFieldId="46" dataDxfId="5" dataCellStyle="Финансовый"/>
    <tableColumn id="48" xr3:uid="{CB959653-1354-477F-BDDC-517408A92FE7}" uniqueName="48" name="marginality_max" queryTableFieldId="51" dataDxfId="4" dataCellStyle="Финансовый"/>
    <tableColumn id="50" xr3:uid="{DC17008D-2147-4DBA-A8B5-AE24CEA90718}" uniqueName="50" name="coef_for_min_price" queryTableFieldId="54" dataDxfId="3" dataCellStyle="Финансовый"/>
    <tableColumn id="51" xr3:uid="{C22318BE-E2CA-4107-A674-4839844C65BE}" uniqueName="51" name="min_price_set" queryTableFieldId="55" dataDxfId="2" dataCellStyle="Финансовый"/>
    <tableColumn id="52" xr3:uid="{65C3C1BF-1039-4E85-A1E4-6CBF8E6101D2}" uniqueName="52" name="coef_for_price_stock" queryTableFieldId="56" dataDxfId="1" dataCellStyle="Финансовый"/>
    <tableColumn id="53" xr3:uid="{A1839825-9233-468C-A16D-9F3E676E0804}" uniqueName="53" name="price_set_stock" queryTableFieldId="57" dataDxfId="0" dataCellStyle="Финансовый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C9CB0D-CC91-47C4-82B6-B989798DC931}" name="Дата_минимальной_цены" displayName="Дата_минимальной_цены" ref="A1:F104" tableType="queryTable" totalsRowShown="0">
  <autoFilter ref="A1:F104" xr:uid="{4FC9CB0D-CC91-47C4-82B6-B989798DC931}"/>
  <tableColumns count="6">
    <tableColumn id="1" xr3:uid="{30A371D2-1A23-4994-B226-55915AED2112}" uniqueName="1" name="Name" queryTableFieldId="1" dataDxfId="25"/>
    <tableColumn id="2" xr3:uid="{A657698A-4417-42AA-80DC-BD895C4625B2}" uniqueName="2" name="product_id" queryTableFieldId="2"/>
    <tableColumn id="3" xr3:uid="{CF73AC3F-67AB-4600-8049-78612D8220FB}" uniqueName="3" name="min_price_for_auto_actions_enabled" queryTableFieldId="3"/>
    <tableColumn id="4" xr3:uid="{3F8675F7-3131-4B08-A601-C46119BF662D}" uniqueName="4" name="expired_at" queryTableFieldId="4" dataDxfId="24"/>
    <tableColumn id="5" xr3:uid="{82A5A77D-9D9B-4C9E-8803-58E1B90C71EF}" uniqueName="5" name="date_now" queryTableFieldId="5" dataDxfId="23"/>
    <tableColumn id="6" xr3:uid="{740C9EE2-AF13-4761-BA6E-18CAC61CF696}" uniqueName="6" name="Осталось дней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B23B01-7539-48BE-A810-EAB6FF418932}" name="Обновить_срок_минимальную_цену" displayName="Обновить_срок_минимальную_цену" ref="L1:L2" tableType="queryTable" totalsRowShown="0">
  <autoFilter ref="L1:L2" xr:uid="{30B23B01-7539-48BE-A810-EAB6FF418932}"/>
  <tableColumns count="1">
    <tableColumn id="1" xr3:uid="{79D955D6-D694-48A3-828F-03F7E008E319}" uniqueName="1" name="Обновить срок минимальную цену" queryTableFieldId="2" dataDxfId="2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F2E39E-7619-4F41-B2AA-21FA597EBAC7}" name="Обновить_цену_все" displayName="Обновить_цену_все" ref="A1:F4" totalsRowShown="0">
  <autoFilter ref="A1:F4" xr:uid="{DFF2E39E-7619-4F41-B2AA-21FA597EBAC7}"/>
  <tableColumns count="6">
    <tableColumn id="5" xr3:uid="{40803FCA-E058-47C1-87E0-0CD02C44685A}" name="Name" dataDxfId="21"/>
    <tableColumn id="21" xr3:uid="{99DCD497-F8CF-47E3-9180-5B648158538B}" name="product_id"/>
    <tableColumn id="6" xr3:uid="{AB689175-1017-4DDB-B1E1-E847A7F26DD0}" name="offer_id"/>
    <tableColumn id="22" xr3:uid="{F9FD4473-454C-47CB-814D-00AE11ACA407}" name="updated"/>
    <tableColumn id="23" xr3:uid="{38CE8264-065F-4DE5-8DF7-5DAE42541176}" name="code"/>
    <tableColumn id="24" xr3:uid="{FC6824A7-C230-48E0-AC5F-77878DB18B40}" name="message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406E2D0-6E6C-47CF-B4C7-AF46A138B750}" name="Обновить_все_цены" displayName="Обновить_все_цены" ref="A1:F70" tableType="queryTable" totalsRowShown="0">
  <autoFilter ref="A1:F70" xr:uid="{1406E2D0-6E6C-47CF-B4C7-AF46A138B750}"/>
  <tableColumns count="6">
    <tableColumn id="1" xr3:uid="{867377A1-F584-4EE6-A140-2349D034F82B}" uniqueName="1" name="Name" queryTableFieldId="1" dataDxfId="20"/>
    <tableColumn id="2" xr3:uid="{92719911-3E0C-45B5-AC43-0AD6B262C903}" uniqueName="2" name="product_id" queryTableFieldId="2"/>
    <tableColumn id="3" xr3:uid="{A653F18F-BADB-4EFA-9873-2A9F8C388C1E}" uniqueName="3" name="offer_id" queryTableFieldId="3"/>
    <tableColumn id="4" xr3:uid="{31E7374E-BB90-48E4-9875-ADE8DD3CDB64}" uniqueName="4" name="updated" queryTableFieldId="4"/>
    <tableColumn id="5" xr3:uid="{7F046365-8592-4BB8-9B61-2398E9B99261}" uniqueName="5" name="code" queryTableFieldId="5"/>
    <tableColumn id="6" xr3:uid="{D20A3D19-E5C2-485F-888C-71D03882A5E7}" uniqueName="6" name="message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8B4110E-68C3-4214-AE94-4BF37D86DD18}" name="Артикула_товаров" displayName="Артикула_товаров" ref="A1:B104" tableType="queryTable" totalsRowShown="0">
  <autoFilter ref="A1:B104" xr:uid="{B8B4110E-68C3-4214-AE94-4BF37D86DD18}"/>
  <tableColumns count="2">
    <tableColumn id="1" xr3:uid="{27807C92-ACD2-47A3-97B9-3C7C2B727B6E}" uniqueName="1" name="ID" queryTableFieldId="1"/>
    <tableColumn id="2" xr3:uid="{A21F1811-0C07-485F-B4FA-AFD8942F8FDB}" uniqueName="2" name="Артикул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744414-F234-47F9-8CC0-5ADA1A16599E}" name="Артикула_товаров_архив" displayName="Артикула_товаров_архив" ref="A1:B35" tableType="queryTable" totalsRowShown="0">
  <autoFilter ref="A1:B35" xr:uid="{25744414-F234-47F9-8CC0-5ADA1A16599E}"/>
  <tableColumns count="2">
    <tableColumn id="1" xr3:uid="{0B7312B1-70AC-4FC6-BF04-25D9D3E008CB}" uniqueName="1" name="ID" queryTableFieldId="1"/>
    <tableColumn id="2" xr3:uid="{65275C5B-4FE8-4EA0-9B29-F3618BDBFEF8}" uniqueName="2" name="Артикул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33A4AC8-A510-448E-B4D7-9E920E2625EA}" name="Характеристики_товаров" displayName="Характеристики_товаров" ref="A1:T104" tableType="queryTable" totalsRowShown="0">
  <autoFilter ref="A1:T104" xr:uid="{733A4AC8-A510-448E-B4D7-9E920E2625EA}"/>
  <tableColumns count="20">
    <tableColumn id="1" xr3:uid="{8F5BFE99-50F0-4945-B391-1DE2DF6592B8}" uniqueName="1" name="id" queryTableFieldId="1"/>
    <tableColumn id="2" xr3:uid="{915DA3D4-AA31-4ED9-8DF4-924FC1148EE1}" uniqueName="2" name="barcode" queryTableFieldId="2"/>
    <tableColumn id="3" xr3:uid="{43607B0D-AA29-446A-955C-3ACAC55B8F60}" uniqueName="3" name="name" queryTableFieldId="3"/>
    <tableColumn id="4" xr3:uid="{7B063548-819F-4C5C-93B3-50E5F5EBC74F}" uniqueName="4" name="offer_id" queryTableFieldId="4"/>
    <tableColumn id="5" xr3:uid="{8A86AE49-9AE6-40C1-8172-A9736E13CF51}" uniqueName="5" name="height" queryTableFieldId="5"/>
    <tableColumn id="6" xr3:uid="{65718ECA-229B-4F39-8E1E-BD92336AF2AE}" uniqueName="6" name="depth" queryTableFieldId="6"/>
    <tableColumn id="7" xr3:uid="{5148CA02-0A21-4E84-B9AF-D6F657916ED6}" uniqueName="7" name="width" queryTableFieldId="7"/>
    <tableColumn id="8" xr3:uid="{BC2CE03E-0729-4363-ACFA-373CC17F9A07}" uniqueName="8" name="dimension_unit" queryTableFieldId="8"/>
    <tableColumn id="9" xr3:uid="{F561C5EC-FA47-4CAA-82D7-9006C7B6DF8D}" uniqueName="9" name="weight" queryTableFieldId="9"/>
    <tableColumn id="10" xr3:uid="{B49CC880-7C91-46DD-BAC4-52A2FCDDEC97}" uniqueName="10" name="weight_unit" queryTableFieldId="10"/>
    <tableColumn id="11" xr3:uid="{7DA24F35-C5CC-40C1-A88B-64BFC9AC05FB}" uniqueName="11" name="description_category_id" queryTableFieldId="11"/>
    <tableColumn id="12" xr3:uid="{73C5E353-AD16-4EAA-8905-43687430FD5F}" uniqueName="12" name="type_id" queryTableFieldId="12"/>
    <tableColumn id="13" xr3:uid="{6F175141-A448-41AC-9DA9-B0F32E0CC6AD}" uniqueName="13" name="primary_image" queryTableFieldId="13"/>
    <tableColumn id="14" xr3:uid="{B410F9C8-BE8D-46B5-AAF8-0F7E0A80132B}" uniqueName="14" name="model_id" queryTableFieldId="14"/>
    <tableColumn id="15" xr3:uid="{16A02262-E216-400C-9084-427AA35ECEB4}" uniqueName="15" name="count" queryTableFieldId="15"/>
    <tableColumn id="16" xr3:uid="{62569200-E91C-4C49-9FEA-46446FB5E442}" uniqueName="16" name="attributes" queryTableFieldId="16"/>
    <tableColumn id="17" xr3:uid="{AABAAE78-1265-4CF0-97D7-3D16AE3F54F2}" uniqueName="17" name="complex_attributes" queryTableFieldId="17"/>
    <tableColumn id="18" xr3:uid="{424A66DE-BE65-4BE3-86BF-4316130BE3A7}" uniqueName="18" name="color_image" queryTableFieldId="18"/>
    <tableColumn id="19" xr3:uid="{C4170FD5-F844-4686-A65B-4C927E3481CF}" uniqueName="19" name="sku" queryTableFieldId="19"/>
    <tableColumn id="20" xr3:uid="{AB5F1FA3-C562-4CA4-8F69-4C9D840FA97E}" uniqueName="20" name="flag_actual_sku" queryTableFieldId="2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A9C999-2726-4FAE-9566-C9C404062ADA}" name="Характеристики_товаров_архив" displayName="Характеристики_товаров_архив" ref="A1:S35" tableType="queryTable" totalsRowShown="0">
  <autoFilter ref="A1:S35" xr:uid="{0BA9C999-2726-4FAE-9566-C9C404062ADA}"/>
  <tableColumns count="19">
    <tableColumn id="1" xr3:uid="{1929FC52-9CA4-48BF-A344-1E418D55A676}" uniqueName="1" name="id" queryTableFieldId="1"/>
    <tableColumn id="2" xr3:uid="{39D9BF6B-707D-42CC-BF46-F746DA18BC9A}" uniqueName="2" name="barcode" queryTableFieldId="2"/>
    <tableColumn id="3" xr3:uid="{F4FAF736-2127-4ADC-BF0D-669269F9D9DA}" uniqueName="3" name="name" queryTableFieldId="3"/>
    <tableColumn id="4" xr3:uid="{B46F6164-3AC4-4C1F-8F41-14BA634AFEB1}" uniqueName="4" name="offer_id" queryTableFieldId="4"/>
    <tableColumn id="5" xr3:uid="{EB223815-E2F2-4CF9-A59C-5DBBAC25C67F}" uniqueName="5" name="height" queryTableFieldId="5"/>
    <tableColumn id="6" xr3:uid="{32AE8C7D-5106-4E17-B681-477DB203E118}" uniqueName="6" name="depth" queryTableFieldId="6"/>
    <tableColumn id="7" xr3:uid="{C80720A3-6761-4715-8C1B-F4E46CD182C1}" uniqueName="7" name="width" queryTableFieldId="7"/>
    <tableColumn id="8" xr3:uid="{29A3C495-0640-4B34-B4FA-AAE27B70A397}" uniqueName="8" name="dimension_unit" queryTableFieldId="8"/>
    <tableColumn id="9" xr3:uid="{7562795E-8DA5-45E1-B09E-70EF0D91D7AB}" uniqueName="9" name="weight" queryTableFieldId="9"/>
    <tableColumn id="10" xr3:uid="{3B049983-EFFC-4CB7-8CD5-E10C720FA007}" uniqueName="10" name="weight_unit" queryTableFieldId="10"/>
    <tableColumn id="11" xr3:uid="{3399997C-9C1E-4448-BF3A-B9E3C9E04D22}" uniqueName="11" name="description_category_id" queryTableFieldId="11"/>
    <tableColumn id="12" xr3:uid="{C2D96E6E-1651-4312-8160-726BF6F4F1C5}" uniqueName="12" name="type_id" queryTableFieldId="12"/>
    <tableColumn id="13" xr3:uid="{CF0D9EBA-F4E0-4D10-B65C-1099E0BA832C}" uniqueName="13" name="primary_image" queryTableFieldId="13"/>
    <tableColumn id="14" xr3:uid="{C3E28FF4-A237-4967-BBB3-50CB24D51018}" uniqueName="14" name="model_id" queryTableFieldId="14"/>
    <tableColumn id="15" xr3:uid="{3BFF5CFC-E1C2-4B29-A714-0410E9B9B5A9}" uniqueName="15" name="count" queryTableFieldId="15"/>
    <tableColumn id="16" xr3:uid="{A8E49CF5-EC94-4FCD-B77F-AB7AFAB388F9}" uniqueName="16" name="attributes" queryTableFieldId="16"/>
    <tableColumn id="17" xr3:uid="{7A85F084-6241-4508-BA99-19CBAD16226A}" uniqueName="17" name="complex_attributes" queryTableFieldId="17"/>
    <tableColumn id="18" xr3:uid="{7744AB2D-9C71-4B7C-B365-0FFAC0CAB98F}" uniqueName="18" name="color_image" queryTableFieldId="18"/>
    <tableColumn id="19" xr3:uid="{119A2FDD-7D26-4F20-97B7-E21F21F7904D}" uniqueName="19" name="sku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234"/>
  <sheetViews>
    <sheetView workbookViewId="0">
      <pane xSplit="1" ySplit="1" topLeftCell="B107" activePane="bottomRight" state="frozen"/>
      <selection activeCell="I36" sqref="B36:I36"/>
      <selection pane="topRight"/>
      <selection pane="bottomLeft"/>
      <selection pane="bottomRight" activeCell="D236" sqref="D236"/>
    </sheetView>
  </sheetViews>
  <sheetFormatPr defaultRowHeight="14.4" x14ac:dyDescent="0.3"/>
  <cols>
    <col min="1" max="1" width="13.6640625" style="15" bestFit="1" customWidth="1"/>
    <col min="2" max="2" width="60.77734375" customWidth="1"/>
    <col min="3" max="3" width="14.88671875" style="1" customWidth="1"/>
    <col min="4" max="4" width="19.33203125" customWidth="1"/>
    <col min="5" max="5" width="10.5546875" customWidth="1"/>
    <col min="6" max="6" width="7.33203125" customWidth="1"/>
    <col min="7" max="7" width="11.44140625" customWidth="1"/>
    <col min="8" max="9" width="30.33203125" style="11" customWidth="1"/>
    <col min="10" max="10" width="14.21875" style="11" bestFit="1" customWidth="1"/>
    <col min="11" max="11" width="20.5546875" customWidth="1"/>
    <col min="12" max="12" width="13.33203125" style="2" customWidth="1"/>
    <col min="13" max="13" width="20.33203125" style="3" customWidth="1"/>
    <col min="14" max="14" width="18.109375" style="3" customWidth="1"/>
    <col min="15" max="15" width="23" customWidth="1"/>
    <col min="16" max="16" width="21.109375" customWidth="1"/>
    <col min="17" max="17" width="26.44140625" bestFit="1" customWidth="1"/>
    <col min="18" max="18" width="13.109375" bestFit="1" customWidth="1"/>
    <col min="19" max="19" width="12.6640625" bestFit="1" customWidth="1"/>
  </cols>
  <sheetData>
    <row r="1" spans="1:22" x14ac:dyDescent="0.3">
      <c r="A1" s="15" t="s">
        <v>0</v>
      </c>
      <c r="B1" t="s">
        <v>1</v>
      </c>
      <c r="C1" s="1" t="s">
        <v>2</v>
      </c>
      <c r="D1" t="s">
        <v>3</v>
      </c>
      <c r="E1" s="19" t="s">
        <v>128</v>
      </c>
      <c r="F1" s="19" t="s">
        <v>129</v>
      </c>
      <c r="G1" s="48" t="s">
        <v>618</v>
      </c>
      <c r="H1" s="12" t="s">
        <v>124</v>
      </c>
      <c r="I1" s="34" t="s">
        <v>585</v>
      </c>
      <c r="J1" s="13" t="s">
        <v>125</v>
      </c>
      <c r="K1" s="3" t="s">
        <v>4</v>
      </c>
      <c r="L1" s="2" t="s">
        <v>5</v>
      </c>
      <c r="M1" s="3" t="s">
        <v>6</v>
      </c>
      <c r="N1" s="3" t="s">
        <v>7</v>
      </c>
      <c r="O1" t="s">
        <v>8</v>
      </c>
      <c r="P1" t="s">
        <v>9</v>
      </c>
      <c r="Q1" t="s">
        <v>10</v>
      </c>
      <c r="R1" t="s">
        <v>11</v>
      </c>
    </row>
    <row r="2" spans="1:22" x14ac:dyDescent="0.3">
      <c r="A2" s="15" t="s">
        <v>254</v>
      </c>
      <c r="B2" t="str">
        <f>VLOOKUP($A2,'Список товаров'!A:E,5,0)</f>
        <v>Камера мгновенной печати Print Camera котик</v>
      </c>
      <c r="C2" s="1">
        <v>45356</v>
      </c>
      <c r="D2">
        <v>10</v>
      </c>
      <c r="E2">
        <v>10</v>
      </c>
      <c r="G2" t="b">
        <f>Таблица8[[#This Row],[Количество]]=Таблица8[[#This Row],[Принято]]+Таблица8[[#This Row],[Брак]]</f>
        <v>1</v>
      </c>
      <c r="I2" s="11">
        <f>Таблица8[[#This Row],[Количество]]*Таблица8[[#This Row],[Цена покупки CNY за единицу]]</f>
        <v>0</v>
      </c>
      <c r="J2" s="57">
        <f>SUMIFS(Курсы_валют!E:E,Курсы_валют!B:B,"CNY")+0.3</f>
        <v>11.6561</v>
      </c>
      <c r="L2" s="57">
        <f>SUMIFS(Курсы_валют!E:E,Курсы_валют!B:B,"USD")</f>
        <v>81.225700000000003</v>
      </c>
      <c r="M2" s="3">
        <v>13631.442067259704</v>
      </c>
      <c r="N2" s="3">
        <f t="shared" ref="N2:N33" si="0">M2/D2</f>
        <v>1363.1442067259704</v>
      </c>
      <c r="O2" t="s">
        <v>12</v>
      </c>
      <c r="P2" s="15">
        <f>VLOOKUP($A2,'Список товаров'!A:K,11,0)*D2/1000</f>
        <v>2.5</v>
      </c>
      <c r="Q2" s="4">
        <f>IFERROR((P2/SUMIFS(P:P,O:O,O2)*SUMIFS('BUYER доставка'!L:L,'BUYER доставка'!A:A,O2))/D2,"")</f>
        <v>195.8</v>
      </c>
      <c r="R2" s="5">
        <f>IFERROR(N2+Q2,0)</f>
        <v>1558.9442067259704</v>
      </c>
      <c r="V2" s="6"/>
    </row>
    <row r="3" spans="1:22" x14ac:dyDescent="0.3">
      <c r="A3" s="15" t="s">
        <v>255</v>
      </c>
      <c r="B3" t="str">
        <f>VLOOKUP($A3,'Список товаров'!A:E,5,0)</f>
        <v>Камера мгновенной печати Print Camera Динозавр</v>
      </c>
      <c r="C3" s="1">
        <v>45356</v>
      </c>
      <c r="D3">
        <v>25</v>
      </c>
      <c r="E3">
        <v>25</v>
      </c>
      <c r="G3" t="b">
        <f>Таблица8[[#This Row],[Количество]]=Таблица8[[#This Row],[Принято]]+Таблица8[[#This Row],[Брак]]</f>
        <v>1</v>
      </c>
      <c r="I3" s="11">
        <f>Таблица8[[#This Row],[Количество]]*Таблица8[[#This Row],[Цена покупки CNY за единицу]]</f>
        <v>0</v>
      </c>
      <c r="J3" s="57">
        <f>SUMIFS(Курсы_валют!E:E,Курсы_валют!B:B,"CNY")+0.3</f>
        <v>11.6561</v>
      </c>
      <c r="L3" s="57">
        <f>SUMIFS(Курсы_валют!E:E,Курсы_валют!B:B,"USD")</f>
        <v>81.225700000000003</v>
      </c>
      <c r="M3" s="3">
        <v>55894</v>
      </c>
      <c r="N3" s="3">
        <f t="shared" si="0"/>
        <v>2235.7600000000002</v>
      </c>
      <c r="O3" t="s">
        <v>12</v>
      </c>
      <c r="P3" s="15">
        <f>VLOOKUP($A3,'Список товаров'!A:K,11,0)*D3/1000</f>
        <v>6.25</v>
      </c>
      <c r="Q3" s="4">
        <f>IFERROR((P3/SUMIFS(P:P,O:O,O3)*SUMIFS('BUYER доставка'!L:L,'BUYER доставка'!A:A,O3))/D3,"")</f>
        <v>195.8</v>
      </c>
      <c r="R3" s="5">
        <f t="shared" ref="R3:R66" si="1">IFERROR(N3+Q3,0)</f>
        <v>2431.5600000000004</v>
      </c>
    </row>
    <row r="4" spans="1:22" x14ac:dyDescent="0.3">
      <c r="A4" s="15" t="s">
        <v>285</v>
      </c>
      <c r="B4" t="str">
        <f>VLOOKUP($A4,'Список товаров'!A:E,5,0)</f>
        <v>Камера мгновенной печати Print Camera Динозавр</v>
      </c>
      <c r="C4" s="1">
        <v>45356</v>
      </c>
      <c r="D4">
        <v>25</v>
      </c>
      <c r="E4">
        <v>25</v>
      </c>
      <c r="G4" t="b">
        <f>Таблица8[[#This Row],[Количество]]=Таблица8[[#This Row],[Принято]]+Таблица8[[#This Row],[Брак]]</f>
        <v>1</v>
      </c>
      <c r="I4" s="11">
        <f>Таблица8[[#This Row],[Количество]]*Таблица8[[#This Row],[Цена покупки CNY за единицу]]</f>
        <v>0</v>
      </c>
      <c r="J4" s="57">
        <f>SUMIFS(Курсы_валют!E:E,Курсы_валют!B:B,"CNY")+0.3</f>
        <v>11.6561</v>
      </c>
      <c r="L4" s="57">
        <f>SUMIFS(Курсы_валют!E:E,Курсы_валют!B:B,"USD")</f>
        <v>81.225700000000003</v>
      </c>
      <c r="M4" s="3">
        <v>55894</v>
      </c>
      <c r="N4" s="3">
        <f t="shared" si="0"/>
        <v>2235.7600000000002</v>
      </c>
      <c r="O4" t="s">
        <v>12</v>
      </c>
      <c r="P4" s="15">
        <f>VLOOKUP($A4,'Список товаров'!A:K,11,0)*D4/1000</f>
        <v>6.25</v>
      </c>
      <c r="Q4" s="4">
        <f>IFERROR((P4/SUMIFS(P:P,O:O,O4)*SUMIFS('BUYER доставка'!L:L,'BUYER доставка'!A:A,O4))/D4,"")</f>
        <v>195.8</v>
      </c>
      <c r="R4" s="5">
        <f t="shared" si="1"/>
        <v>2431.5600000000004</v>
      </c>
    </row>
    <row r="5" spans="1:22" x14ac:dyDescent="0.3">
      <c r="A5" s="15" t="s">
        <v>132</v>
      </c>
      <c r="B5" t="str">
        <f>VLOOKUP($A5,'Список товаров'!A:E,5,0)</f>
        <v>Камера мгновенной печати Print Camera Розовая Русифицированная</v>
      </c>
      <c r="C5" s="1">
        <v>45356</v>
      </c>
      <c r="D5">
        <v>25</v>
      </c>
      <c r="E5">
        <v>25</v>
      </c>
      <c r="G5" t="b">
        <f>Таблица8[[#This Row],[Количество]]=Таблица8[[#This Row],[Принято]]+Таблица8[[#This Row],[Брак]]</f>
        <v>1</v>
      </c>
      <c r="I5" s="11">
        <f>Таблица8[[#This Row],[Количество]]*Таблица8[[#This Row],[Цена покупки CNY за единицу]]</f>
        <v>0</v>
      </c>
      <c r="J5" s="57">
        <f>SUMIFS(Курсы_валют!E:E,Курсы_валют!B:B,"CNY")+0.3</f>
        <v>11.6561</v>
      </c>
      <c r="L5" s="57">
        <f>SUMIFS(Курсы_валют!E:E,Курсы_валют!B:B,"USD")</f>
        <v>81.225700000000003</v>
      </c>
      <c r="M5" s="3">
        <v>50962.469433175094</v>
      </c>
      <c r="N5" s="3">
        <f t="shared" si="0"/>
        <v>2038.4987773270038</v>
      </c>
      <c r="O5" t="s">
        <v>12</v>
      </c>
      <c r="P5" s="15">
        <f>VLOOKUP($A5,'Список товаров'!A:K,11,0)*D5/1000</f>
        <v>6.25</v>
      </c>
      <c r="Q5" s="4">
        <f>IFERROR((P5/SUMIFS(P:P,O:O,O5)*SUMIFS('BUYER доставка'!L:L,'BUYER доставка'!A:A,O5))/D5,"")</f>
        <v>195.8</v>
      </c>
      <c r="R5" s="5">
        <f t="shared" si="1"/>
        <v>2234.2987773270038</v>
      </c>
    </row>
    <row r="6" spans="1:22" x14ac:dyDescent="0.3">
      <c r="A6" s="15" t="s">
        <v>131</v>
      </c>
      <c r="B6" t="str">
        <f>VLOOKUP($A6,'Список товаров'!A:E,5,0)</f>
        <v>Камера мгновенной печати Print Camera Оранжевая Русифицированная</v>
      </c>
      <c r="C6" s="1">
        <v>45356</v>
      </c>
      <c r="D6">
        <v>50</v>
      </c>
      <c r="E6">
        <v>50</v>
      </c>
      <c r="G6" t="b">
        <f>Таблица8[[#This Row],[Количество]]=Таблица8[[#This Row],[Принято]]+Таблица8[[#This Row],[Брак]]</f>
        <v>1</v>
      </c>
      <c r="I6" s="11">
        <f>Таблица8[[#This Row],[Количество]]*Таблица8[[#This Row],[Цена покупки CNY за единицу]]</f>
        <v>0</v>
      </c>
      <c r="J6" s="57">
        <f>SUMIFS(Курсы_валют!E:E,Курсы_валют!B:B,"CNY")+0.3</f>
        <v>11.6561</v>
      </c>
      <c r="L6" s="57">
        <f>SUMIFS(Курсы_валют!E:E,Курсы_валют!B:B,"USD")</f>
        <v>81.225700000000003</v>
      </c>
      <c r="M6" s="3">
        <v>101924.93886635019</v>
      </c>
      <c r="N6" s="3">
        <f t="shared" si="0"/>
        <v>2038.4987773270038</v>
      </c>
      <c r="O6" t="s">
        <v>12</v>
      </c>
      <c r="P6" s="15">
        <f>VLOOKUP($A6,'Список товаров'!A:K,11,0)*D6/1000</f>
        <v>12.5</v>
      </c>
      <c r="Q6" s="4">
        <f>IFERROR((P6/SUMIFS(P:P,O:O,O6)*SUMIFS('BUYER доставка'!L:L,'BUYER доставка'!A:A,O6))/D6,"")</f>
        <v>195.8</v>
      </c>
      <c r="R6" s="5">
        <f t="shared" si="1"/>
        <v>2234.2987773270038</v>
      </c>
    </row>
    <row r="7" spans="1:22" x14ac:dyDescent="0.3">
      <c r="A7" s="15" t="s">
        <v>134</v>
      </c>
      <c r="B7" t="str">
        <f>VLOOKUP($A7,'Список товаров'!A:E,5,0)</f>
        <v>Металлическая модель грузовика Мерседес серо-голубой с прицепом, иннерционная, 31см, звук и свет</v>
      </c>
      <c r="C7" s="1">
        <v>45356</v>
      </c>
      <c r="D7">
        <v>10</v>
      </c>
      <c r="E7">
        <v>10</v>
      </c>
      <c r="G7" t="b">
        <f>Таблица8[[#This Row],[Количество]]=Таблица8[[#This Row],[Принято]]+Таблица8[[#This Row],[Брак]]</f>
        <v>1</v>
      </c>
      <c r="I7" s="11">
        <f>Таблица8[[#This Row],[Количество]]*Таблица8[[#This Row],[Цена покупки CNY за единицу]]</f>
        <v>0</v>
      </c>
      <c r="J7" s="57">
        <f>SUMIFS(Курсы_валют!E:E,Курсы_валют!B:B,"CNY")+0.3</f>
        <v>11.6561</v>
      </c>
      <c r="L7" s="57">
        <f>SUMIFS(Курсы_валют!E:E,Курсы_валют!B:B,"USD")</f>
        <v>81.225700000000003</v>
      </c>
      <c r="M7" s="3">
        <v>4933.17</v>
      </c>
      <c r="N7" s="3">
        <f t="shared" si="0"/>
        <v>493.31700000000001</v>
      </c>
      <c r="O7" t="s">
        <v>13</v>
      </c>
      <c r="P7" s="15">
        <f>VLOOKUP($A7,'Список товаров'!A:K,11,0)*D7/1000</f>
        <v>5</v>
      </c>
      <c r="Q7" s="4">
        <f>IFERROR((P7/SUMIFS(P:P,O:O,O7)*SUMIFS('BUYER доставка'!L:L,'BUYER доставка'!A:A,O7))/D7,"")</f>
        <v>241.33333333333334</v>
      </c>
      <c r="R7" s="5">
        <f t="shared" si="1"/>
        <v>734.65033333333338</v>
      </c>
    </row>
    <row r="8" spans="1:22" x14ac:dyDescent="0.3">
      <c r="A8" s="15" t="s">
        <v>135</v>
      </c>
      <c r="B8" t="str">
        <f>VLOOKUP($A8,'Список товаров'!A:E,5,0)</f>
        <v>Металлическая модель автобуса, свет, звук, инерционный бежевый</v>
      </c>
      <c r="C8" s="1">
        <v>45356</v>
      </c>
      <c r="D8">
        <v>10</v>
      </c>
      <c r="E8">
        <v>10</v>
      </c>
      <c r="G8" t="b">
        <f>Таблица8[[#This Row],[Количество]]=Таблица8[[#This Row],[Принято]]+Таблица8[[#This Row],[Брак]]</f>
        <v>1</v>
      </c>
      <c r="I8" s="11">
        <f>Таблица8[[#This Row],[Количество]]*Таблица8[[#This Row],[Цена покупки CNY за единицу]]</f>
        <v>0</v>
      </c>
      <c r="J8" s="57">
        <f>SUMIFS(Курсы_валют!E:E,Курсы_валют!B:B,"CNY")+0.3</f>
        <v>11.6561</v>
      </c>
      <c r="L8" s="57">
        <f>SUMIFS(Курсы_валют!E:E,Курсы_валют!B:B,"USD")</f>
        <v>81.225700000000003</v>
      </c>
      <c r="M8" s="3">
        <v>6767.82</v>
      </c>
      <c r="N8" s="3">
        <f t="shared" si="0"/>
        <v>676.78199999999993</v>
      </c>
      <c r="O8" t="s">
        <v>13</v>
      </c>
      <c r="P8" s="15">
        <f>VLOOKUP($A8,'Список товаров'!A:K,11,0)*D8/1000</f>
        <v>4</v>
      </c>
      <c r="Q8" s="4">
        <f>IFERROR((P8/SUMIFS(P:P,O:O,O8)*SUMIFS('BUYER доставка'!L:L,'BUYER доставка'!A:A,O8))/D8,"")</f>
        <v>193.06666666666666</v>
      </c>
      <c r="R8" s="5">
        <f t="shared" si="1"/>
        <v>869.84866666666653</v>
      </c>
    </row>
    <row r="9" spans="1:22" x14ac:dyDescent="0.3">
      <c r="A9" s="15" t="s">
        <v>332</v>
      </c>
      <c r="B9" t="str">
        <f>VLOOKUP($A9,'Список товаров'!A:E,5,0)</f>
        <v>Детская камера мгновенной печати Print Camera розовая</v>
      </c>
      <c r="C9" s="1">
        <v>45356</v>
      </c>
      <c r="D9">
        <v>5</v>
      </c>
      <c r="E9">
        <v>5</v>
      </c>
      <c r="G9" t="b">
        <f>Таблица8[[#This Row],[Количество]]=Таблица8[[#This Row],[Принято]]+Таблица8[[#This Row],[Брак]]</f>
        <v>1</v>
      </c>
      <c r="I9" s="11">
        <f>Таблица8[[#This Row],[Количество]]*Таблица8[[#This Row],[Цена покупки CNY за единицу]]</f>
        <v>0</v>
      </c>
      <c r="J9" s="57">
        <f>SUMIFS(Курсы_валют!E:E,Курсы_валют!B:B,"CNY")+0.3</f>
        <v>11.6561</v>
      </c>
      <c r="L9" s="57">
        <f>SUMIFS(Курсы_валют!E:E,Курсы_валют!B:B,"USD")</f>
        <v>81.225700000000003</v>
      </c>
      <c r="M9" s="3">
        <v>9506.19981660751</v>
      </c>
      <c r="N9" s="3">
        <f t="shared" si="0"/>
        <v>1901.239963321502</v>
      </c>
      <c r="O9" t="s">
        <v>12</v>
      </c>
      <c r="P9" s="15">
        <f>VLOOKUP($A9,'Список товаров'!A:K,11,0)*D9/1000</f>
        <v>1.25</v>
      </c>
      <c r="Q9" s="4">
        <f>IFERROR((P9/SUMIFS(P:P,O:O,O9)*SUMIFS('BUYER доставка'!L:L,'BUYER доставка'!A:A,O9))/D9,"")</f>
        <v>195.8</v>
      </c>
      <c r="R9" s="5">
        <f t="shared" si="1"/>
        <v>2097.039963321502</v>
      </c>
    </row>
    <row r="10" spans="1:22" x14ac:dyDescent="0.3">
      <c r="A10" s="15" t="s">
        <v>336</v>
      </c>
      <c r="B10" t="str">
        <f>VLOOKUP($A10,'Список товаров'!A:E,5,0)</f>
        <v>Детская камера мгновенной печати Print Camera синяя</v>
      </c>
      <c r="C10" s="1">
        <v>45356</v>
      </c>
      <c r="D10">
        <v>5</v>
      </c>
      <c r="E10">
        <v>5</v>
      </c>
      <c r="G10" t="b">
        <f>Таблица8[[#This Row],[Количество]]=Таблица8[[#This Row],[Принято]]+Таблица8[[#This Row],[Брак]]</f>
        <v>1</v>
      </c>
      <c r="I10" s="11">
        <f>Таблица8[[#This Row],[Количество]]*Таблица8[[#This Row],[Цена покупки CNY за единицу]]</f>
        <v>0</v>
      </c>
      <c r="J10" s="57">
        <f>SUMIFS(Курсы_валют!E:E,Курсы_валют!B:B,"CNY")+0.3</f>
        <v>11.6561</v>
      </c>
      <c r="L10" s="57">
        <f>SUMIFS(Курсы_валют!E:E,Курсы_валют!B:B,"USD")</f>
        <v>81.225700000000003</v>
      </c>
      <c r="M10" s="3">
        <v>9506.19981660751</v>
      </c>
      <c r="N10" s="3">
        <f t="shared" si="0"/>
        <v>1901.239963321502</v>
      </c>
      <c r="O10" t="s">
        <v>12</v>
      </c>
      <c r="P10" s="15">
        <f>VLOOKUP($A10,'Список товаров'!A:K,11,0)*D10/1000</f>
        <v>1.25</v>
      </c>
      <c r="Q10" s="4">
        <f>IFERROR((P10/SUMIFS(P:P,O:O,O10)*SUMIFS('BUYER доставка'!L:L,'BUYER доставка'!A:A,O10))/D10,"")</f>
        <v>195.8</v>
      </c>
      <c r="R10" s="5">
        <f t="shared" si="1"/>
        <v>2097.039963321502</v>
      </c>
    </row>
    <row r="11" spans="1:22" x14ac:dyDescent="0.3">
      <c r="A11" s="15" t="s">
        <v>135</v>
      </c>
      <c r="B11" t="str">
        <f>VLOOKUP($A11,'Список товаров'!A:E,5,0)</f>
        <v>Металлическая модель автобуса, свет, звук, инерционный бежевый</v>
      </c>
      <c r="C11" s="1">
        <v>45418</v>
      </c>
      <c r="D11">
        <v>10</v>
      </c>
      <c r="E11">
        <v>10</v>
      </c>
      <c r="G11" t="b">
        <f>Таблица8[[#This Row],[Количество]]=Таблица8[[#This Row],[Принято]]+Таблица8[[#This Row],[Брак]]</f>
        <v>1</v>
      </c>
      <c r="I11" s="11">
        <f>Таблица8[[#This Row],[Количество]]*Таблица8[[#This Row],[Цена покупки CNY за единицу]]</f>
        <v>0</v>
      </c>
      <c r="J11" s="57">
        <f>SUMIFS(Курсы_валют!E:E,Курсы_валют!B:B,"CNY")+0.3</f>
        <v>11.6561</v>
      </c>
      <c r="K11">
        <f t="shared" ref="K11:K14" si="2">285/4</f>
        <v>71.25</v>
      </c>
      <c r="L11" s="57">
        <f>SUMIFS(Курсы_валют!E:E,Курсы_валют!B:B,"USD")</f>
        <v>81.225700000000003</v>
      </c>
      <c r="M11" s="3">
        <f>L11*K11+(Таблица8[[#This Row],[Цена покупки CNY]]*Таблица8[[#This Row],[Курс CNY]])</f>
        <v>5787.3311250000006</v>
      </c>
      <c r="N11" s="3">
        <f t="shared" si="0"/>
        <v>578.73311250000006</v>
      </c>
      <c r="O11" t="s">
        <v>14</v>
      </c>
      <c r="P11" s="15">
        <f>VLOOKUP($A11,'Список товаров'!A:K,11,0)*D11/1000</f>
        <v>4</v>
      </c>
      <c r="Q11" s="4">
        <f>IFERROR((P11/SUMIFS(P:P,O:O,O11)*SUMIFS('BUYER доставка'!L:L,'BUYER доставка'!A:A,O11))/D11,"")</f>
        <v>198.45</v>
      </c>
      <c r="R11" s="5">
        <f t="shared" si="1"/>
        <v>777.18311250000011</v>
      </c>
      <c r="S11" s="7"/>
    </row>
    <row r="12" spans="1:22" x14ac:dyDescent="0.3">
      <c r="A12" s="15" t="s">
        <v>136</v>
      </c>
      <c r="B12" t="str">
        <f>VLOOKUP($A12,'Список товаров'!A:E,5,0)</f>
        <v>Металлическая модель автобуса, свет, звук, инерционный красный</v>
      </c>
      <c r="C12" s="1">
        <v>45418</v>
      </c>
      <c r="D12">
        <v>10</v>
      </c>
      <c r="E12">
        <v>10</v>
      </c>
      <c r="G12" t="b">
        <f>Таблица8[[#This Row],[Количество]]=Таблица8[[#This Row],[Принято]]+Таблица8[[#This Row],[Брак]]</f>
        <v>1</v>
      </c>
      <c r="I12" s="11">
        <f>Таблица8[[#This Row],[Количество]]*Таблица8[[#This Row],[Цена покупки CNY за единицу]]</f>
        <v>0</v>
      </c>
      <c r="J12" s="57">
        <f>SUMIFS(Курсы_валют!E:E,Курсы_валют!B:B,"CNY")+0.3</f>
        <v>11.6561</v>
      </c>
      <c r="K12">
        <f t="shared" si="2"/>
        <v>71.25</v>
      </c>
      <c r="L12" s="57">
        <f>SUMIFS(Курсы_валют!E:E,Курсы_валют!B:B,"USD")</f>
        <v>81.225700000000003</v>
      </c>
      <c r="M12" s="3">
        <f>L12*K12+(Таблица8[[#This Row],[Цена покупки CNY]]*Таблица8[[#This Row],[Курс CNY]])</f>
        <v>5787.3311250000006</v>
      </c>
      <c r="N12" s="3">
        <f t="shared" si="0"/>
        <v>578.73311250000006</v>
      </c>
      <c r="O12" t="s">
        <v>14</v>
      </c>
      <c r="P12" s="15">
        <f>VLOOKUP($A12,'Список товаров'!A:K,11,0)*D12/1000</f>
        <v>4</v>
      </c>
      <c r="Q12" s="4">
        <f>IFERROR((P12/SUMIFS(P:P,O:O,O12)*SUMIFS('BUYER доставка'!L:L,'BUYER доставка'!A:A,O12))/D12,"")</f>
        <v>198.45</v>
      </c>
      <c r="R12" s="5">
        <f t="shared" si="1"/>
        <v>777.18311250000011</v>
      </c>
      <c r="S12" s="5"/>
    </row>
    <row r="13" spans="1:22" x14ac:dyDescent="0.3">
      <c r="A13" s="15" t="s">
        <v>137</v>
      </c>
      <c r="B13" t="str">
        <f>VLOOKUP($A13,'Список товаров'!A:E,5,0)</f>
        <v>Металлическая модель автобуса, свет, звук, инерционный синий</v>
      </c>
      <c r="C13" s="1">
        <v>45418</v>
      </c>
      <c r="D13">
        <v>10</v>
      </c>
      <c r="E13">
        <v>10</v>
      </c>
      <c r="G13" t="b">
        <f>Таблица8[[#This Row],[Количество]]=Таблица8[[#This Row],[Принято]]+Таблица8[[#This Row],[Брак]]</f>
        <v>1</v>
      </c>
      <c r="I13" s="11">
        <f>Таблица8[[#This Row],[Количество]]*Таблица8[[#This Row],[Цена покупки CNY за единицу]]</f>
        <v>0</v>
      </c>
      <c r="J13" s="57">
        <f>SUMIFS(Курсы_валют!E:E,Курсы_валют!B:B,"CNY")+0.3</f>
        <v>11.6561</v>
      </c>
      <c r="K13">
        <f t="shared" si="2"/>
        <v>71.25</v>
      </c>
      <c r="L13" s="57">
        <f>SUMIFS(Курсы_валют!E:E,Курсы_валют!B:B,"USD")</f>
        <v>81.225700000000003</v>
      </c>
      <c r="M13" s="3">
        <f>L13*K13+(Таблица8[[#This Row],[Цена покупки CNY]]*Таблица8[[#This Row],[Курс CNY]])</f>
        <v>5787.3311250000006</v>
      </c>
      <c r="N13" s="3">
        <f t="shared" si="0"/>
        <v>578.73311250000006</v>
      </c>
      <c r="O13" t="s">
        <v>14</v>
      </c>
      <c r="P13" s="15">
        <f>VLOOKUP($A13,'Список товаров'!A:K,11,0)*D13/1000</f>
        <v>4</v>
      </c>
      <c r="Q13" s="4">
        <f>IFERROR((P13/SUMIFS(P:P,O:O,O13)*SUMIFS('BUYER доставка'!L:L,'BUYER доставка'!A:A,O13))/D13,"")</f>
        <v>198.45</v>
      </c>
      <c r="R13" s="5">
        <f t="shared" si="1"/>
        <v>777.18311250000011</v>
      </c>
    </row>
    <row r="14" spans="1:22" x14ac:dyDescent="0.3">
      <c r="A14" s="15" t="s">
        <v>138</v>
      </c>
      <c r="B14" t="str">
        <f>VLOOKUP($A14,'Список товаров'!A:E,5,0)</f>
        <v>Металлическая модель автобуса инерционная, белая</v>
      </c>
      <c r="C14" s="1">
        <v>45418</v>
      </c>
      <c r="D14">
        <v>10</v>
      </c>
      <c r="E14">
        <v>10</v>
      </c>
      <c r="G14" t="b">
        <f>Таблица8[[#This Row],[Количество]]=Таблица8[[#This Row],[Принято]]+Таблица8[[#This Row],[Брак]]</f>
        <v>1</v>
      </c>
      <c r="I14" s="11">
        <f>Таблица8[[#This Row],[Количество]]*Таблица8[[#This Row],[Цена покупки CNY за единицу]]</f>
        <v>0</v>
      </c>
      <c r="J14" s="57">
        <f>SUMIFS(Курсы_валют!E:E,Курсы_валют!B:B,"CNY")+0.3</f>
        <v>11.6561</v>
      </c>
      <c r="K14">
        <f t="shared" si="2"/>
        <v>71.25</v>
      </c>
      <c r="L14" s="57">
        <f>SUMIFS(Курсы_валют!E:E,Курсы_валют!B:B,"USD")</f>
        <v>81.225700000000003</v>
      </c>
      <c r="M14" s="3">
        <f>L14*K14+(Таблица8[[#This Row],[Цена покупки CNY]]*Таблица8[[#This Row],[Курс CNY]])</f>
        <v>5787.3311250000006</v>
      </c>
      <c r="N14" s="3">
        <f t="shared" si="0"/>
        <v>578.73311250000006</v>
      </c>
      <c r="O14" t="s">
        <v>14</v>
      </c>
      <c r="P14" s="15">
        <f>VLOOKUP($A14,'Список товаров'!A:K,11,0)*D14/1000</f>
        <v>4</v>
      </c>
      <c r="Q14" s="4">
        <f>IFERROR((P14/SUMIFS(P:P,O:O,O14)*SUMIFS('BUYER доставка'!L:L,'BUYER доставка'!A:A,O14))/D14,"")</f>
        <v>198.45</v>
      </c>
      <c r="R14" s="5">
        <f t="shared" si="1"/>
        <v>777.18311250000011</v>
      </c>
    </row>
    <row r="15" spans="1:22" x14ac:dyDescent="0.3">
      <c r="A15" s="15" t="s">
        <v>132</v>
      </c>
      <c r="B15" t="str">
        <f>VLOOKUP($A15,'Список товаров'!A:E,5,0)</f>
        <v>Камера мгновенной печати Print Camera Розовая Русифицированная</v>
      </c>
      <c r="C15" s="1">
        <v>45458</v>
      </c>
      <c r="D15">
        <v>25</v>
      </c>
      <c r="E15">
        <v>25</v>
      </c>
      <c r="G15" t="b">
        <f>Таблица8[[#This Row],[Количество]]=Таблица8[[#This Row],[Принято]]+Таблица8[[#This Row],[Брак]]</f>
        <v>1</v>
      </c>
      <c r="I15" s="11">
        <f>Таблица8[[#This Row],[Количество]]*Таблица8[[#This Row],[Цена покупки CNY за единицу]]</f>
        <v>0</v>
      </c>
      <c r="J15" s="57">
        <f>SUMIFS(Курсы_валют!E:E,Курсы_валют!B:B,"CNY")+0.3</f>
        <v>11.6561</v>
      </c>
      <c r="K15">
        <v>568.25</v>
      </c>
      <c r="L15" s="57">
        <f>SUMIFS(Курсы_валют!E:E,Курсы_валют!B:B,"USD")</f>
        <v>81.225700000000003</v>
      </c>
      <c r="M15" s="3">
        <f>L15*K15+(Таблица8[[#This Row],[Цена покупки CNY]]*Таблица8[[#This Row],[Курс CNY]])</f>
        <v>46156.504025000002</v>
      </c>
      <c r="N15" s="3">
        <f t="shared" si="0"/>
        <v>1846.2601610000002</v>
      </c>
      <c r="O15" t="s">
        <v>15</v>
      </c>
      <c r="P15" s="15">
        <f>VLOOKUP($A15,'Список товаров'!A:K,11,0)*D15/1000</f>
        <v>6.25</v>
      </c>
      <c r="Q15" s="4">
        <f>IFERROR((P15/SUMIFS(P:P,O:O,O15)*SUMIFS('BUYER доставка'!L:L,'BUYER доставка'!A:A,O15))/D15,"")</f>
        <v>140.86800000000002</v>
      </c>
      <c r="R15" s="5">
        <f t="shared" si="1"/>
        <v>1987.1281610000001</v>
      </c>
    </row>
    <row r="16" spans="1:22" x14ac:dyDescent="0.3">
      <c r="A16" s="15" t="s">
        <v>131</v>
      </c>
      <c r="B16" t="str">
        <f>VLOOKUP($A16,'Список товаров'!A:E,5,0)</f>
        <v>Камера мгновенной печати Print Camera Оранжевая Русифицированная</v>
      </c>
      <c r="C16" s="1">
        <v>45458</v>
      </c>
      <c r="D16">
        <v>75</v>
      </c>
      <c r="E16">
        <v>75</v>
      </c>
      <c r="G16" t="b">
        <f>Таблица8[[#This Row],[Количество]]=Таблица8[[#This Row],[Принято]]+Таблица8[[#This Row],[Брак]]</f>
        <v>1</v>
      </c>
      <c r="I16" s="11">
        <f>Таблица8[[#This Row],[Количество]]*Таблица8[[#This Row],[Цена покупки CNY за единицу]]</f>
        <v>0</v>
      </c>
      <c r="J16" s="57">
        <f>SUMIFS(Курсы_валют!E:E,Курсы_валют!B:B,"CNY")+0.3</f>
        <v>11.6561</v>
      </c>
      <c r="K16">
        <v>1704.75</v>
      </c>
      <c r="L16" s="57">
        <f>SUMIFS(Курсы_валют!E:E,Курсы_валют!B:B,"USD")</f>
        <v>81.225700000000003</v>
      </c>
      <c r="M16" s="3">
        <f>L16*K16+(Таблица8[[#This Row],[Цена покупки CNY]]*Таблица8[[#This Row],[Курс CNY]])</f>
        <v>138469.51207500001</v>
      </c>
      <c r="N16" s="3">
        <f t="shared" si="0"/>
        <v>1846.2601610000002</v>
      </c>
      <c r="O16" t="s">
        <v>15</v>
      </c>
      <c r="P16" s="15">
        <f>VLOOKUP($A16,'Список товаров'!A:K,11,0)*D16/1000</f>
        <v>18.75</v>
      </c>
      <c r="Q16" s="4">
        <f>IFERROR((P16/SUMIFS(P:P,O:O,O16)*SUMIFS('BUYER доставка'!L:L,'BUYER доставка'!A:A,O16))/D16,"")</f>
        <v>140.86799999999999</v>
      </c>
      <c r="R16" s="5">
        <f t="shared" si="1"/>
        <v>1987.1281610000001</v>
      </c>
    </row>
    <row r="17" spans="1:18" x14ac:dyDescent="0.3">
      <c r="A17" s="15" t="s">
        <v>134</v>
      </c>
      <c r="B17" t="str">
        <f>VLOOKUP($A17,'Список товаров'!A:E,5,0)</f>
        <v>Металлическая модель грузовика Мерседес серо-голубой с прицепом, иннерционная, 31см, звук и свет</v>
      </c>
      <c r="C17" s="1">
        <v>45467</v>
      </c>
      <c r="D17">
        <v>15</v>
      </c>
      <c r="E17">
        <v>15</v>
      </c>
      <c r="G17" t="b">
        <f>Таблица8[[#This Row],[Количество]]=Таблица8[[#This Row],[Принято]]+Таблица8[[#This Row],[Брак]]</f>
        <v>1</v>
      </c>
      <c r="I17" s="11">
        <f>Таблица8[[#This Row],[Количество]]*Таблица8[[#This Row],[Цена покупки CNY за единицу]]</f>
        <v>0</v>
      </c>
      <c r="J17" s="57">
        <f>SUMIFS(Курсы_валют!E:E,Курсы_валют!B:B,"CNY")+0.3</f>
        <v>11.6561</v>
      </c>
      <c r="K17">
        <v>72.3</v>
      </c>
      <c r="L17" s="57">
        <f>SUMIFS(Курсы_валют!E:E,Курсы_валют!B:B,"USD")</f>
        <v>81.225700000000003</v>
      </c>
      <c r="M17" s="3">
        <f>L17*K17+(Таблица8[[#This Row],[Цена покупки CNY]]*Таблица8[[#This Row],[Курс CNY]])</f>
        <v>5872.6181100000003</v>
      </c>
      <c r="N17" s="3">
        <f t="shared" si="0"/>
        <v>391.50787400000002</v>
      </c>
      <c r="O17" t="s">
        <v>16</v>
      </c>
      <c r="P17" s="15">
        <f>VLOOKUP($A17,'Список товаров'!A:K,11,0)*D17/1000</f>
        <v>7.5</v>
      </c>
      <c r="Q17" s="4">
        <f>IFERROR((P17/SUMIFS(P:P,O:O,O17)*SUMIFS('BUYER доставка'!L:L,'BUYER доставка'!A:A,O17))/D17,"")</f>
        <v>197.97555555555556</v>
      </c>
      <c r="R17" s="5">
        <f t="shared" si="1"/>
        <v>589.48342955555563</v>
      </c>
    </row>
    <row r="18" spans="1:18" x14ac:dyDescent="0.3">
      <c r="A18" s="15" t="s">
        <v>139</v>
      </c>
      <c r="B18" t="str">
        <f>VLOOKUP($A18,'Список товаров'!A:E,5,0)</f>
        <v>Металлическая модель грузовика Мерседес черно-желтый с прицепом, иннерционная, 31см, звук и свет</v>
      </c>
      <c r="C18" s="1">
        <v>45467</v>
      </c>
      <c r="D18">
        <v>15</v>
      </c>
      <c r="E18">
        <v>15</v>
      </c>
      <c r="G18" t="b">
        <f>Таблица8[[#This Row],[Количество]]=Таблица8[[#This Row],[Принято]]+Таблица8[[#This Row],[Брак]]</f>
        <v>1</v>
      </c>
      <c r="I18" s="11">
        <f>Таблица8[[#This Row],[Количество]]*Таблица8[[#This Row],[Цена покупки CNY за единицу]]</f>
        <v>0</v>
      </c>
      <c r="J18" s="57">
        <f>SUMIFS(Курсы_валют!E:E,Курсы_валют!B:B,"CNY")+0.3</f>
        <v>11.6561</v>
      </c>
      <c r="K18">
        <v>72.3</v>
      </c>
      <c r="L18" s="57">
        <f>SUMIFS(Курсы_валют!E:E,Курсы_валют!B:B,"USD")</f>
        <v>81.225700000000003</v>
      </c>
      <c r="M18" s="3">
        <f>L18*K18+(Таблица8[[#This Row],[Цена покупки CNY]]*Таблица8[[#This Row],[Курс CNY]])</f>
        <v>5872.6181100000003</v>
      </c>
      <c r="N18" s="3">
        <f t="shared" si="0"/>
        <v>391.50787400000002</v>
      </c>
      <c r="O18" t="s">
        <v>16</v>
      </c>
      <c r="P18" s="15">
        <f>VLOOKUP($A18,'Список товаров'!A:K,11,0)*D18/1000</f>
        <v>7.5</v>
      </c>
      <c r="Q18" s="4">
        <f>IFERROR((P18/SUMIFS(P:P,O:O,O18)*SUMIFS('BUYER доставка'!L:L,'BUYER доставка'!A:A,O18))/D18,"")</f>
        <v>197.97555555555556</v>
      </c>
      <c r="R18" s="5">
        <f t="shared" si="1"/>
        <v>589.48342955555563</v>
      </c>
    </row>
    <row r="19" spans="1:18" x14ac:dyDescent="0.3">
      <c r="A19" s="15" t="s">
        <v>140</v>
      </c>
      <c r="B19" t="str">
        <f>VLOOKUP($A19,'Список товаров'!A:E,5,0)</f>
        <v>Металлическая модель грузовика Мерседес бело-коричневый с прицепом, иннерционная, 31см, звук и свет</v>
      </c>
      <c r="C19" s="1">
        <v>45467</v>
      </c>
      <c r="D19">
        <v>15</v>
      </c>
      <c r="E19">
        <v>15</v>
      </c>
      <c r="G19" t="b">
        <f>Таблица8[[#This Row],[Количество]]=Таблица8[[#This Row],[Принято]]+Таблица8[[#This Row],[Брак]]</f>
        <v>1</v>
      </c>
      <c r="I19" s="11">
        <f>Таблица8[[#This Row],[Количество]]*Таблица8[[#This Row],[Цена покупки CNY за единицу]]</f>
        <v>0</v>
      </c>
      <c r="J19" s="57">
        <f>SUMIFS(Курсы_валют!E:E,Курсы_валют!B:B,"CNY")+0.3</f>
        <v>11.6561</v>
      </c>
      <c r="K19">
        <v>72.3</v>
      </c>
      <c r="L19" s="57">
        <f>SUMIFS(Курсы_валют!E:E,Курсы_валют!B:B,"USD")</f>
        <v>81.225700000000003</v>
      </c>
      <c r="M19" s="3">
        <f>L19*K19+(Таблица8[[#This Row],[Цена покупки CNY]]*Таблица8[[#This Row],[Курс CNY]])</f>
        <v>5872.6181100000003</v>
      </c>
      <c r="N19" s="3">
        <f t="shared" si="0"/>
        <v>391.50787400000002</v>
      </c>
      <c r="O19" t="s">
        <v>16</v>
      </c>
      <c r="P19" s="15">
        <f>VLOOKUP($A19,'Список товаров'!A:K,11,0)*D19/1000</f>
        <v>7.5</v>
      </c>
      <c r="Q19" s="4">
        <f>IFERROR((P19/SUMIFS(P:P,O:O,O19)*SUMIFS('BUYER доставка'!L:L,'BUYER доставка'!A:A,O19))/D19,"")</f>
        <v>197.97555555555556</v>
      </c>
      <c r="R19" s="5">
        <f t="shared" si="1"/>
        <v>589.48342955555563</v>
      </c>
    </row>
    <row r="20" spans="1:18" x14ac:dyDescent="0.3">
      <c r="A20" s="15" t="s">
        <v>132</v>
      </c>
      <c r="B20" t="str">
        <f>VLOOKUP($A20,'Список товаров'!A:E,5,0)</f>
        <v>Камера мгновенной печати Print Camera Розовая Русифицированная</v>
      </c>
      <c r="C20" s="1">
        <v>45535</v>
      </c>
      <c r="D20">
        <v>150</v>
      </c>
      <c r="E20">
        <v>150</v>
      </c>
      <c r="G20" t="b">
        <f>Таблица8[[#This Row],[Количество]]=Таблица8[[#This Row],[Принято]]+Таблица8[[#This Row],[Брак]]</f>
        <v>1</v>
      </c>
      <c r="I20" s="11">
        <f>Таблица8[[#This Row],[Количество]]*Таблица8[[#This Row],[Цена покупки CNY за единицу]]</f>
        <v>0</v>
      </c>
      <c r="J20" s="57">
        <f>SUMIFS(Курсы_валют!E:E,Курсы_валют!B:B,"CNY")+0.3</f>
        <v>11.6561</v>
      </c>
      <c r="K20">
        <f>6985.5/2</f>
        <v>3492.75</v>
      </c>
      <c r="L20" s="57">
        <f>SUMIFS(Курсы_валют!E:E,Курсы_валют!B:B,"USD")</f>
        <v>81.225700000000003</v>
      </c>
      <c r="M20" s="3">
        <f>L20*K20+(Таблица8[[#This Row],[Цена покупки CNY]]*Таблица8[[#This Row],[Курс CNY]])</f>
        <v>283701.06367499998</v>
      </c>
      <c r="N20" s="3">
        <f t="shared" si="0"/>
        <v>1891.3404244999999</v>
      </c>
      <c r="O20" t="s">
        <v>17</v>
      </c>
      <c r="P20" s="15">
        <f>VLOOKUP($A20,'Список товаров'!A:K,11,0)*D20/1000</f>
        <v>37.5</v>
      </c>
      <c r="Q20" s="4">
        <f>IFERROR((P20/SUMIFS(P:P,O:O,O20)*SUMIFS('BUYER доставка'!L:L,'BUYER доставка'!A:A,O20))/D20,"")</f>
        <v>129.42067750029994</v>
      </c>
      <c r="R20" s="5">
        <f t="shared" si="1"/>
        <v>2020.7611020002998</v>
      </c>
    </row>
    <row r="21" spans="1:18" x14ac:dyDescent="0.3">
      <c r="A21" s="15" t="s">
        <v>131</v>
      </c>
      <c r="B21" t="str">
        <f>VLOOKUP($A21,'Список товаров'!A:E,5,0)</f>
        <v>Камера мгновенной печати Print Camera Оранжевая Русифицированная</v>
      </c>
      <c r="C21" s="1">
        <v>45535</v>
      </c>
      <c r="D21">
        <v>150</v>
      </c>
      <c r="E21">
        <v>150</v>
      </c>
      <c r="G21" t="b">
        <f>Таблица8[[#This Row],[Количество]]=Таблица8[[#This Row],[Принято]]+Таблица8[[#This Row],[Брак]]</f>
        <v>1</v>
      </c>
      <c r="I21" s="11">
        <f>Таблица8[[#This Row],[Количество]]*Таблица8[[#This Row],[Цена покупки CNY за единицу]]</f>
        <v>0</v>
      </c>
      <c r="J21" s="57">
        <f>SUMIFS(Курсы_валют!E:E,Курсы_валют!B:B,"CNY")+0.3</f>
        <v>11.6561</v>
      </c>
      <c r="K21">
        <v>3492.75</v>
      </c>
      <c r="L21" s="57">
        <f>SUMIFS(Курсы_валют!E:E,Курсы_валют!B:B,"USD")</f>
        <v>81.225700000000003</v>
      </c>
      <c r="M21" s="3">
        <f>L21*K21+(Таблица8[[#This Row],[Цена покупки CNY]]*Таблица8[[#This Row],[Курс CNY]])</f>
        <v>283701.06367499998</v>
      </c>
      <c r="N21" s="3">
        <f t="shared" si="0"/>
        <v>1891.3404244999999</v>
      </c>
      <c r="O21" t="s">
        <v>17</v>
      </c>
      <c r="P21" s="15">
        <f>VLOOKUP($A21,'Список товаров'!A:K,11,0)*D21/1000</f>
        <v>37.5</v>
      </c>
      <c r="Q21" s="4">
        <f>IFERROR((P21/SUMIFS(P:P,O:O,O21)*SUMIFS('BUYER доставка'!L:L,'BUYER доставка'!A:A,O21))/D21,"")</f>
        <v>129.42067750029994</v>
      </c>
      <c r="R21" s="5">
        <f t="shared" si="1"/>
        <v>2020.7611020002998</v>
      </c>
    </row>
    <row r="22" spans="1:18" x14ac:dyDescent="0.3">
      <c r="A22" s="15" t="s">
        <v>135</v>
      </c>
      <c r="B22" t="str">
        <f>VLOOKUP($A22,'Список товаров'!A:E,5,0)</f>
        <v>Металлическая модель автобуса, свет, звук, инерционный бежевый</v>
      </c>
      <c r="C22" s="1">
        <v>45535</v>
      </c>
      <c r="D22">
        <v>45</v>
      </c>
      <c r="E22">
        <v>45</v>
      </c>
      <c r="G22" t="b">
        <f>Таблица8[[#This Row],[Количество]]=Таблица8[[#This Row],[Принято]]+Таблица8[[#This Row],[Брак]]</f>
        <v>1</v>
      </c>
      <c r="I22" s="11">
        <f>Таблица8[[#This Row],[Количество]]*Таблица8[[#This Row],[Цена покупки CNY за единицу]]</f>
        <v>0</v>
      </c>
      <c r="J22" s="57">
        <f>SUMIFS(Курсы_валют!E:E,Курсы_валют!B:B,"CNY")+0.3</f>
        <v>11.6561</v>
      </c>
      <c r="K22">
        <v>319.94219653179186</v>
      </c>
      <c r="L22" s="57">
        <f>SUMIFS(Курсы_валют!E:E,Курсы_валют!B:B,"USD")</f>
        <v>81.225700000000003</v>
      </c>
      <c r="M22" s="3">
        <f>L22*K22+(Таблица8[[#This Row],[Цена покупки CNY]]*Таблица8[[#This Row],[Курс CNY]])</f>
        <v>25987.528872832369</v>
      </c>
      <c r="N22" s="3">
        <f t="shared" si="0"/>
        <v>577.50064161849707</v>
      </c>
      <c r="O22" t="s">
        <v>18</v>
      </c>
      <c r="P22" s="15">
        <f>VLOOKUP($A22,'Список товаров'!A:K,11,0)*D22/1000</f>
        <v>18</v>
      </c>
      <c r="Q22" s="4">
        <f>IFERROR((P22/SUMIFS(P:P,O:O,O22)*SUMIFS('BUYER доставка'!L:L,'BUYER доставка'!A:A,O22))/D22,"")</f>
        <v>146.66616885722595</v>
      </c>
      <c r="R22" s="5">
        <f t="shared" si="1"/>
        <v>724.16681047572297</v>
      </c>
    </row>
    <row r="23" spans="1:18" x14ac:dyDescent="0.3">
      <c r="A23" s="15" t="s">
        <v>136</v>
      </c>
      <c r="B23" t="str">
        <f>VLOOKUP($A23,'Список товаров'!A:E,5,0)</f>
        <v>Металлическая модель автобуса, свет, звук, инерционный красный</v>
      </c>
      <c r="C23" s="1">
        <v>45535</v>
      </c>
      <c r="D23">
        <v>38</v>
      </c>
      <c r="E23">
        <v>38</v>
      </c>
      <c r="G23" t="b">
        <f>Таблица8[[#This Row],[Количество]]=Таблица8[[#This Row],[Принято]]+Таблица8[[#This Row],[Брак]]</f>
        <v>1</v>
      </c>
      <c r="I23" s="11">
        <f>Таблица8[[#This Row],[Количество]]*Таблица8[[#This Row],[Цена покупки CNY за единицу]]</f>
        <v>0</v>
      </c>
      <c r="J23" s="57">
        <f>SUMIFS(Курсы_валют!E:E,Курсы_валют!B:B,"CNY")+0.3</f>
        <v>11.6561</v>
      </c>
      <c r="K23">
        <v>270.17341040462429</v>
      </c>
      <c r="L23" s="57">
        <f>SUMIFS(Курсы_валют!E:E,Курсы_валют!B:B,"USD")</f>
        <v>81.225700000000003</v>
      </c>
      <c r="M23" s="3">
        <f>L23*K23+(Таблица8[[#This Row],[Цена покупки CNY]]*Таблица8[[#This Row],[Курс CNY]])</f>
        <v>21945.024381502892</v>
      </c>
      <c r="N23" s="3">
        <f t="shared" si="0"/>
        <v>577.50064161849718</v>
      </c>
      <c r="O23" t="s">
        <v>18</v>
      </c>
      <c r="P23" s="15">
        <f>VLOOKUP($A23,'Список товаров'!A:K,11,0)*D23/1000</f>
        <v>15.2</v>
      </c>
      <c r="Q23" s="4">
        <f>IFERROR((P23/SUMIFS(P:P,O:O,O23)*SUMIFS('BUYER доставка'!L:L,'BUYER доставка'!A:A,O23))/D23,"")</f>
        <v>146.66616885722598</v>
      </c>
      <c r="R23" s="5">
        <f t="shared" si="1"/>
        <v>724.1668104757232</v>
      </c>
    </row>
    <row r="24" spans="1:18" x14ac:dyDescent="0.3">
      <c r="A24" s="15" t="s">
        <v>137</v>
      </c>
      <c r="B24" t="str">
        <f>VLOOKUP($A24,'Список товаров'!A:E,5,0)</f>
        <v>Металлическая модель автобуса, свет, звук, инерционный синий</v>
      </c>
      <c r="C24" s="1">
        <v>45535</v>
      </c>
      <c r="D24">
        <v>45</v>
      </c>
      <c r="E24">
        <v>45</v>
      </c>
      <c r="G24" t="b">
        <f>Таблица8[[#This Row],[Количество]]=Таблица8[[#This Row],[Принято]]+Таблица8[[#This Row],[Брак]]</f>
        <v>1</v>
      </c>
      <c r="I24" s="11">
        <f>Таблица8[[#This Row],[Количество]]*Таблица8[[#This Row],[Цена покупки CNY за единицу]]</f>
        <v>0</v>
      </c>
      <c r="J24" s="57">
        <f>SUMIFS(Курсы_валют!E:E,Курсы_валют!B:B,"CNY")+0.3</f>
        <v>11.6561</v>
      </c>
      <c r="K24">
        <v>319.94219653179186</v>
      </c>
      <c r="L24" s="57">
        <f>SUMIFS(Курсы_валют!E:E,Курсы_валют!B:B,"USD")</f>
        <v>81.225700000000003</v>
      </c>
      <c r="M24" s="3">
        <f>L24*K24+(Таблица8[[#This Row],[Цена покупки CNY]]*Таблица8[[#This Row],[Курс CNY]])</f>
        <v>25987.528872832369</v>
      </c>
      <c r="N24" s="3">
        <f t="shared" si="0"/>
        <v>577.50064161849707</v>
      </c>
      <c r="O24" t="s">
        <v>18</v>
      </c>
      <c r="P24" s="15">
        <f>VLOOKUP($A24,'Список товаров'!A:K,11,0)*D24/1000</f>
        <v>18</v>
      </c>
      <c r="Q24" s="4">
        <f>IFERROR((P24/SUMIFS(P:P,O:O,O24)*SUMIFS('BUYER доставка'!L:L,'BUYER доставка'!A:A,O24))/D24,"")</f>
        <v>146.66616885722595</v>
      </c>
      <c r="R24" s="5">
        <f t="shared" si="1"/>
        <v>724.16681047572297</v>
      </c>
    </row>
    <row r="25" spans="1:18" x14ac:dyDescent="0.3">
      <c r="A25" s="15" t="s">
        <v>138</v>
      </c>
      <c r="B25" t="str">
        <f>VLOOKUP($A25,'Список товаров'!A:E,5,0)</f>
        <v>Металлическая модель автобуса инерционная, белая</v>
      </c>
      <c r="C25" s="1">
        <v>45535</v>
      </c>
      <c r="D25">
        <v>45</v>
      </c>
      <c r="E25">
        <v>45</v>
      </c>
      <c r="G25" t="b">
        <f>Таблица8[[#This Row],[Количество]]=Таблица8[[#This Row],[Принято]]+Таблица8[[#This Row],[Брак]]</f>
        <v>1</v>
      </c>
      <c r="I25" s="11">
        <f>Таблица8[[#This Row],[Количество]]*Таблица8[[#This Row],[Цена покупки CNY за единицу]]</f>
        <v>0</v>
      </c>
      <c r="J25" s="57">
        <f>SUMIFS(Курсы_валют!E:E,Курсы_валют!B:B,"CNY")+0.3</f>
        <v>11.6561</v>
      </c>
      <c r="K25">
        <v>319.94219653179186</v>
      </c>
      <c r="L25" s="57">
        <f>SUMIFS(Курсы_валют!E:E,Курсы_валют!B:B,"USD")</f>
        <v>81.225700000000003</v>
      </c>
      <c r="M25" s="3">
        <f>L25*K25+(Таблица8[[#This Row],[Цена покупки CNY]]*Таблица8[[#This Row],[Курс CNY]])</f>
        <v>25987.528872832369</v>
      </c>
      <c r="N25" s="3">
        <f t="shared" si="0"/>
        <v>577.50064161849707</v>
      </c>
      <c r="O25" t="s">
        <v>18</v>
      </c>
      <c r="P25" s="15">
        <f>VLOOKUP($A25,'Список товаров'!A:K,11,0)*D25/1000</f>
        <v>18</v>
      </c>
      <c r="Q25" s="4">
        <f>IFERROR((P25/SUMIFS(P:P,O:O,O25)*SUMIFS('BUYER доставка'!L:L,'BUYER доставка'!A:A,O25))/D25,"")</f>
        <v>146.66616885722595</v>
      </c>
      <c r="R25" s="5">
        <f t="shared" si="1"/>
        <v>724.16681047572297</v>
      </c>
    </row>
    <row r="26" spans="1:18" x14ac:dyDescent="0.3">
      <c r="A26" s="15" t="s">
        <v>133</v>
      </c>
      <c r="B26" t="str">
        <f>VLOOKUP($A26,'Список товаров'!A:E,5,0)</f>
        <v>Камера мгновенной печати Print Camera фиолетовый единорог</v>
      </c>
      <c r="C26" s="1">
        <v>45538</v>
      </c>
      <c r="D26">
        <v>10</v>
      </c>
      <c r="E26">
        <v>10</v>
      </c>
      <c r="G26" t="b">
        <f>Таблица8[[#This Row],[Количество]]=Таблица8[[#This Row],[Принято]]+Таблица8[[#This Row],[Брак]]</f>
        <v>1</v>
      </c>
      <c r="I26" s="11">
        <f>Таблица8[[#This Row],[Количество]]*Таблица8[[#This Row],[Цена покупки CNY за единицу]]</f>
        <v>0</v>
      </c>
      <c r="J26" s="57">
        <f>SUMIFS(Курсы_валют!E:E,Курсы_валют!B:B,"CNY")+0.3</f>
        <v>11.6561</v>
      </c>
      <c r="K26">
        <v>255.92462417011004</v>
      </c>
      <c r="L26" s="57">
        <f>SUMIFS(Курсы_валют!E:E,Курсы_валют!B:B,"USD")</f>
        <v>81.225700000000003</v>
      </c>
      <c r="M26" s="3">
        <f>L26*K26+(Таблица8[[#This Row],[Цена покупки CNY]]*Таблица8[[#This Row],[Курс CNY]])</f>
        <v>20787.656745454107</v>
      </c>
      <c r="N26" s="3">
        <f t="shared" si="0"/>
        <v>2078.7656745454105</v>
      </c>
      <c r="O26" t="s">
        <v>19</v>
      </c>
      <c r="P26" s="15">
        <f>VLOOKUP($A26,'Список товаров'!A:K,11,0)*D26/1000</f>
        <v>2.5</v>
      </c>
      <c r="Q26" s="4">
        <f>IFERROR((P26/SUMIFS(P:P,O:O,O26)*SUMIFS('BUYER доставка'!L:L,'BUYER доставка'!A:A,O26))/D26,"")</f>
        <v>205.05661237734665</v>
      </c>
      <c r="R26" s="5">
        <f t="shared" si="1"/>
        <v>2283.822286922757</v>
      </c>
    </row>
    <row r="27" spans="1:18" x14ac:dyDescent="0.3">
      <c r="A27" s="15" t="s">
        <v>264</v>
      </c>
      <c r="B27" t="str">
        <f>VLOOKUP($A27,'Список товаров'!A:E,5,0)</f>
        <v>Камера мгновенной печати Print Camera розовый единорог</v>
      </c>
      <c r="C27" s="1">
        <v>45538</v>
      </c>
      <c r="D27">
        <v>10</v>
      </c>
      <c r="E27">
        <v>10</v>
      </c>
      <c r="G27" t="b">
        <f>Таблица8[[#This Row],[Количество]]=Таблица8[[#This Row],[Принято]]+Таблица8[[#This Row],[Брак]]</f>
        <v>1</v>
      </c>
      <c r="I27" s="11">
        <f>Таблица8[[#This Row],[Количество]]*Таблица8[[#This Row],[Цена покупки CNY за единицу]]</f>
        <v>0</v>
      </c>
      <c r="J27" s="57">
        <f>SUMIFS(Курсы_валют!E:E,Курсы_валют!B:B,"CNY")+0.3</f>
        <v>11.6561</v>
      </c>
      <c r="K27">
        <v>255.92462417011004</v>
      </c>
      <c r="L27" s="57">
        <f>SUMIFS(Курсы_валют!E:E,Курсы_валют!B:B,"USD")</f>
        <v>81.225700000000003</v>
      </c>
      <c r="M27" s="3">
        <f>L27*K27+(Таблица8[[#This Row],[Цена покупки CNY]]*Таблица8[[#This Row],[Курс CNY]])</f>
        <v>20787.656745454107</v>
      </c>
      <c r="N27" s="3">
        <f t="shared" si="0"/>
        <v>2078.7656745454105</v>
      </c>
      <c r="O27" t="s">
        <v>19</v>
      </c>
      <c r="P27" s="15">
        <f>VLOOKUP($A27,'Список товаров'!A:K,11,0)*D27/1000</f>
        <v>2.5</v>
      </c>
      <c r="Q27" s="4">
        <f>IFERROR((P27/SUMIFS(P:P,O:O,O27)*SUMIFS('BUYER доставка'!L:L,'BUYER доставка'!A:A,O27))/D27,"")</f>
        <v>205.05661237734665</v>
      </c>
      <c r="R27" s="5">
        <f t="shared" si="1"/>
        <v>2283.822286922757</v>
      </c>
    </row>
    <row r="28" spans="1:18" x14ac:dyDescent="0.3">
      <c r="A28" s="15" t="s">
        <v>280</v>
      </c>
      <c r="B28" t="str">
        <f>VLOOKUP($A28,'Список товаров'!A:E,5,0)</f>
        <v>Камера мгновенной печати Print Camera крокодил</v>
      </c>
      <c r="C28" s="1">
        <v>45538</v>
      </c>
      <c r="D28">
        <v>5</v>
      </c>
      <c r="E28">
        <v>5</v>
      </c>
      <c r="G28" t="b">
        <f>Таблица8[[#This Row],[Количество]]=Таблица8[[#This Row],[Принято]]+Таблица8[[#This Row],[Брак]]</f>
        <v>1</v>
      </c>
      <c r="I28" s="11">
        <f>Таблица8[[#This Row],[Количество]]*Таблица8[[#This Row],[Цена покупки CNY за единицу]]</f>
        <v>0</v>
      </c>
      <c r="J28" s="57">
        <f>SUMIFS(Курсы_валют!E:E,Курсы_валют!B:B,"CNY")+0.3</f>
        <v>11.6561</v>
      </c>
      <c r="K28">
        <v>88.66084776452017</v>
      </c>
      <c r="L28" s="57">
        <f>SUMIFS(Курсы_валют!E:E,Курсы_валют!B:B,"USD")</f>
        <v>81.225700000000003</v>
      </c>
      <c r="M28" s="3">
        <f>L28*K28+(Таблица8[[#This Row],[Цена покупки CNY]]*Таблица8[[#This Row],[Курс CNY]])</f>
        <v>7201.5394222665864</v>
      </c>
      <c r="N28" s="3">
        <f t="shared" si="0"/>
        <v>1440.3078844533172</v>
      </c>
      <c r="O28" t="s">
        <v>19</v>
      </c>
      <c r="P28" s="15">
        <f>VLOOKUP($A28,'Список товаров'!A:K,11,0)*D28/1000</f>
        <v>1.25</v>
      </c>
      <c r="Q28" s="4">
        <f>IFERROR((P28/SUMIFS(P:P,O:O,O28)*SUMIFS('BUYER доставка'!L:L,'BUYER доставка'!A:A,O28))/D28,"")</f>
        <v>205.05661237734665</v>
      </c>
      <c r="R28" s="5">
        <f t="shared" si="1"/>
        <v>1645.3644968306639</v>
      </c>
    </row>
    <row r="29" spans="1:18" x14ac:dyDescent="0.3">
      <c r="A29" s="15" t="s">
        <v>255</v>
      </c>
      <c r="B29" t="str">
        <f>VLOOKUP($A29,'Список товаров'!A:E,5,0)</f>
        <v>Камера мгновенной печати Print Camera Динозавр</v>
      </c>
      <c r="C29" s="1">
        <v>45538</v>
      </c>
      <c r="D29">
        <v>5</v>
      </c>
      <c r="E29">
        <v>5</v>
      </c>
      <c r="G29" t="b">
        <f>Таблица8[[#This Row],[Количество]]=Таблица8[[#This Row],[Принято]]+Таблица8[[#This Row],[Брак]]</f>
        <v>1</v>
      </c>
      <c r="I29" s="11">
        <f>Таблица8[[#This Row],[Количество]]*Таблица8[[#This Row],[Цена покупки CNY за единицу]]</f>
        <v>0</v>
      </c>
      <c r="J29" s="57">
        <f>SUMIFS(Курсы_валют!E:E,Курсы_валют!B:B,"CNY")+0.3</f>
        <v>11.6561</v>
      </c>
      <c r="K29">
        <v>127.96231208505502</v>
      </c>
      <c r="L29" s="57">
        <f>SUMIFS(Курсы_валют!E:E,Курсы_валют!B:B,"USD")</f>
        <v>81.225700000000003</v>
      </c>
      <c r="M29" s="3">
        <f>L29*K29+(Таблица8[[#This Row],[Цена покупки CNY]]*Таблица8[[#This Row],[Курс CNY]])</f>
        <v>10393.828372727054</v>
      </c>
      <c r="N29" s="3">
        <f t="shared" si="0"/>
        <v>2078.7656745454105</v>
      </c>
      <c r="O29" t="s">
        <v>19</v>
      </c>
      <c r="P29" s="15">
        <f>VLOOKUP($A29,'Список товаров'!A:K,11,0)*D29/1000</f>
        <v>1.25</v>
      </c>
      <c r="Q29" s="4">
        <f>IFERROR((P29/SUMIFS(P:P,O:O,O29)*SUMIFS('BUYER доставка'!L:L,'BUYER доставка'!A:A,O29))/D29,"")</f>
        <v>205.05661237734665</v>
      </c>
      <c r="R29" s="5">
        <f t="shared" si="1"/>
        <v>2283.822286922757</v>
      </c>
    </row>
    <row r="30" spans="1:18" x14ac:dyDescent="0.3">
      <c r="A30" s="15" t="s">
        <v>285</v>
      </c>
      <c r="B30" t="str">
        <f>VLOOKUP($A30,'Список товаров'!A:E,5,0)</f>
        <v>Камера мгновенной печати Print Camera Динозавр</v>
      </c>
      <c r="C30" s="1">
        <v>45538</v>
      </c>
      <c r="D30">
        <v>5</v>
      </c>
      <c r="E30">
        <v>5</v>
      </c>
      <c r="G30" t="b">
        <f>Таблица8[[#This Row],[Количество]]=Таблица8[[#This Row],[Принято]]+Таблица8[[#This Row],[Брак]]</f>
        <v>1</v>
      </c>
      <c r="I30" s="11">
        <f>Таблица8[[#This Row],[Количество]]*Таблица8[[#This Row],[Цена покупки CNY за единицу]]</f>
        <v>0</v>
      </c>
      <c r="J30" s="57">
        <f>SUMIFS(Курсы_валют!E:E,Курсы_валют!B:B,"CNY")+0.3</f>
        <v>11.6561</v>
      </c>
      <c r="K30">
        <v>127.96231208505502</v>
      </c>
      <c r="L30" s="57">
        <f>SUMIFS(Курсы_валют!E:E,Курсы_валют!B:B,"USD")</f>
        <v>81.225700000000003</v>
      </c>
      <c r="M30" s="3">
        <f>L30*K30+(Таблица8[[#This Row],[Цена покупки CNY]]*Таблица8[[#This Row],[Курс CNY]])</f>
        <v>10393.828372727054</v>
      </c>
      <c r="N30" s="3">
        <f t="shared" si="0"/>
        <v>2078.7656745454105</v>
      </c>
      <c r="O30" t="s">
        <v>19</v>
      </c>
      <c r="P30" s="15">
        <f>VLOOKUP($A30,'Список товаров'!A:K,11,0)*D30/1000</f>
        <v>1.25</v>
      </c>
      <c r="Q30" s="4">
        <f>IFERROR((P30/SUMIFS(P:P,O:O,O30)*SUMIFS('BUYER доставка'!L:L,'BUYER доставка'!A:A,O30))/D30,"")</f>
        <v>205.05661237734665</v>
      </c>
      <c r="R30" s="5">
        <f t="shared" si="1"/>
        <v>2283.822286922757</v>
      </c>
    </row>
    <row r="31" spans="1:18" x14ac:dyDescent="0.3">
      <c r="A31" s="15" t="s">
        <v>293</v>
      </c>
      <c r="B31" t="str">
        <f>VLOOKUP($A31,'Список товаров'!A:E,5,0)</f>
        <v>Камера мгновенной печати Print Camera розовый Единорог</v>
      </c>
      <c r="C31" s="1">
        <v>45538</v>
      </c>
      <c r="D31">
        <v>10</v>
      </c>
      <c r="E31">
        <v>10</v>
      </c>
      <c r="G31" t="b">
        <f>Таблица8[[#This Row],[Количество]]=Таблица8[[#This Row],[Принято]]+Таблица8[[#This Row],[Брак]]</f>
        <v>1</v>
      </c>
      <c r="I31" s="11">
        <f>Таблица8[[#This Row],[Количество]]*Таблица8[[#This Row],[Цена покупки CNY за единицу]]</f>
        <v>0</v>
      </c>
      <c r="J31" s="57">
        <f>SUMIFS(Курсы_валют!E:E,Курсы_валют!B:B,"CNY")+0.3</f>
        <v>11.6561</v>
      </c>
      <c r="K31">
        <v>255.92462417011004</v>
      </c>
      <c r="L31" s="57">
        <f>SUMIFS(Курсы_валют!E:E,Курсы_валют!B:B,"USD")</f>
        <v>81.225700000000003</v>
      </c>
      <c r="M31" s="3">
        <f>L31*K31+(Таблица8[[#This Row],[Цена покупки CNY]]*Таблица8[[#This Row],[Курс CNY]])</f>
        <v>20787.656745454107</v>
      </c>
      <c r="N31" s="3">
        <f t="shared" si="0"/>
        <v>2078.7656745454105</v>
      </c>
      <c r="O31" t="s">
        <v>19</v>
      </c>
      <c r="P31" s="15">
        <f>VLOOKUP($A31,'Список товаров'!A:K,11,0)*D31/1000</f>
        <v>2.5</v>
      </c>
      <c r="Q31" s="4">
        <f>IFERROR((P31/SUMIFS(P:P,O:O,O31)*SUMIFS('BUYER доставка'!L:L,'BUYER доставка'!A:A,O31))/D31,"")</f>
        <v>205.05661237734665</v>
      </c>
      <c r="R31" s="5">
        <f t="shared" si="1"/>
        <v>2283.822286922757</v>
      </c>
    </row>
    <row r="32" spans="1:18" x14ac:dyDescent="0.3">
      <c r="A32" s="15" t="s">
        <v>291</v>
      </c>
      <c r="B32" t="str">
        <f>VLOOKUP($A32,'Список товаров'!A:E,5,0)</f>
        <v>Камера мгновенной печати Print Camera фиолетовый Единорог</v>
      </c>
      <c r="C32" s="1">
        <v>45538</v>
      </c>
      <c r="D32">
        <v>10</v>
      </c>
      <c r="E32">
        <v>10</v>
      </c>
      <c r="G32" t="b">
        <f>Таблица8[[#This Row],[Количество]]=Таблица8[[#This Row],[Принято]]+Таблица8[[#This Row],[Брак]]</f>
        <v>1</v>
      </c>
      <c r="I32" s="11">
        <f>Таблица8[[#This Row],[Количество]]*Таблица8[[#This Row],[Цена покупки CNY за единицу]]</f>
        <v>0</v>
      </c>
      <c r="J32" s="57">
        <f>SUMIFS(Курсы_валют!E:E,Курсы_валют!B:B,"CNY")+0.3</f>
        <v>11.6561</v>
      </c>
      <c r="K32">
        <v>255.92462417011004</v>
      </c>
      <c r="L32" s="57">
        <f>SUMIFS(Курсы_валют!E:E,Курсы_валют!B:B,"USD")</f>
        <v>81.225700000000003</v>
      </c>
      <c r="M32" s="3">
        <f>L32*K32+(Таблица8[[#This Row],[Цена покупки CNY]]*Таблица8[[#This Row],[Курс CNY]])</f>
        <v>20787.656745454107</v>
      </c>
      <c r="N32" s="3">
        <f t="shared" si="0"/>
        <v>2078.7656745454105</v>
      </c>
      <c r="O32" t="s">
        <v>19</v>
      </c>
      <c r="P32" s="15">
        <f>VLOOKUP($A32,'Список товаров'!A:K,11,0)*D32/1000</f>
        <v>2.5</v>
      </c>
      <c r="Q32" s="4">
        <f>IFERROR((P32/SUMIFS(P:P,O:O,O32)*SUMIFS('BUYER доставка'!L:L,'BUYER доставка'!A:A,O32))/D32,"")</f>
        <v>205.05661237734665</v>
      </c>
      <c r="R32" s="5">
        <f t="shared" si="1"/>
        <v>2283.822286922757</v>
      </c>
    </row>
    <row r="33" spans="1:19" x14ac:dyDescent="0.3">
      <c r="A33" s="15" t="s">
        <v>134</v>
      </c>
      <c r="B33" t="str">
        <f>VLOOKUP($A33,'Список товаров'!A:E,5,0)</f>
        <v>Металлическая модель грузовика Мерседес серо-голубой с прицепом, иннерционная, 31см, звук и свет</v>
      </c>
      <c r="C33" s="1">
        <v>45538</v>
      </c>
      <c r="D33">
        <v>20</v>
      </c>
      <c r="E33">
        <v>20</v>
      </c>
      <c r="G33" t="b">
        <f>Таблица8[[#This Row],[Количество]]=Таблица8[[#This Row],[Принято]]+Таблица8[[#This Row],[Брак]]</f>
        <v>1</v>
      </c>
      <c r="I33" s="11">
        <f>Таблица8[[#This Row],[Количество]]*Таблица8[[#This Row],[Цена покупки CNY за единицу]]</f>
        <v>0</v>
      </c>
      <c r="J33" s="57">
        <f>SUMIFS(Курсы_валют!E:E,Курсы_валют!B:B,"CNY")+0.3</f>
        <v>11.6561</v>
      </c>
      <c r="K33">
        <v>95.419420585913926</v>
      </c>
      <c r="L33" s="57">
        <f>SUMIFS(Курсы_валют!E:E,Курсы_валют!B:B,"USD")</f>
        <v>81.225700000000003</v>
      </c>
      <c r="M33" s="3">
        <f>L33*K33+(Таблица8[[#This Row],[Цена покупки CNY]]*Таблица8[[#This Row],[Курс CNY]])</f>
        <v>7750.5092306852694</v>
      </c>
      <c r="N33" s="3">
        <f t="shared" si="0"/>
        <v>387.52546153426346</v>
      </c>
      <c r="O33" t="s">
        <v>20</v>
      </c>
      <c r="P33" s="15">
        <f>VLOOKUP($A33,'Список товаров'!A:K,11,0)*D33/1000</f>
        <v>10</v>
      </c>
      <c r="Q33" s="4">
        <f>IFERROR((P33/SUMIFS(P:P,O:O,O33)*SUMIFS('BUYER доставка'!L:L,'BUYER доставка'!A:A,O33))/D33,"")</f>
        <v>276.84004084175717</v>
      </c>
      <c r="R33" s="5">
        <f t="shared" si="1"/>
        <v>664.36550237602069</v>
      </c>
    </row>
    <row r="34" spans="1:19" x14ac:dyDescent="0.3">
      <c r="A34" s="15" t="s">
        <v>132</v>
      </c>
      <c r="B34" t="str">
        <f>VLOOKUP($A34,'Список товаров'!A:E,5,0)</f>
        <v>Камера мгновенной печати Print Camera Розовая Русифицированная</v>
      </c>
      <c r="C34" s="1">
        <v>45607</v>
      </c>
      <c r="D34">
        <v>56</v>
      </c>
      <c r="E34">
        <v>56</v>
      </c>
      <c r="G34" t="b">
        <f>Таблица8[[#This Row],[Количество]]=Таблица8[[#This Row],[Принято]]+Таблица8[[#This Row],[Брак]]</f>
        <v>1</v>
      </c>
      <c r="I34" s="11">
        <f>Таблица8[[#This Row],[Количество]]*Таблица8[[#This Row],[Цена покупки CNY за единицу]]</f>
        <v>0</v>
      </c>
      <c r="J34" s="57">
        <f>SUMIFS(Курсы_валют!E:E,Курсы_валют!B:B,"CNY")+0.3</f>
        <v>11.6561</v>
      </c>
      <c r="K34">
        <v>1268.5354838709677</v>
      </c>
      <c r="L34" s="57">
        <f>SUMIFS(Курсы_валют!E:E,Курсы_валют!B:B,"USD")</f>
        <v>81.225700000000003</v>
      </c>
      <c r="M34" s="3">
        <f>L34*K34+(Таблица8[[#This Row],[Цена покупки CNY]]*Таблица8[[#This Row],[Курс CNY]])</f>
        <v>103037.68265225807</v>
      </c>
      <c r="N34" s="3">
        <f t="shared" ref="N34:N70" si="3">M34/D34</f>
        <v>1839.9586187903226</v>
      </c>
      <c r="O34" t="s">
        <v>21</v>
      </c>
      <c r="P34" s="15">
        <f>VLOOKUP($A34,'Список товаров'!A:K,11,0)*D34/1000</f>
        <v>14</v>
      </c>
      <c r="Q34" s="4">
        <f>IFERROR((P34/SUMIFS(P:P,O:O,O34)*SUMIFS('BUYER доставка'!L:L,'BUYER доставка'!A:A,O34))/D34,"")</f>
        <v>119.83593664845817</v>
      </c>
      <c r="R34" s="5">
        <f t="shared" si="1"/>
        <v>1959.7945554387807</v>
      </c>
    </row>
    <row r="35" spans="1:19" x14ac:dyDescent="0.3">
      <c r="A35" s="15" t="s">
        <v>131</v>
      </c>
      <c r="B35" t="str">
        <f>VLOOKUP($A35,'Список товаров'!A:E,5,0)</f>
        <v>Камера мгновенной печати Print Camera Оранжевая Русифицированная</v>
      </c>
      <c r="C35" s="1">
        <v>45607</v>
      </c>
      <c r="D35">
        <v>68</v>
      </c>
      <c r="E35">
        <v>68</v>
      </c>
      <c r="G35" t="b">
        <f>Таблица8[[#This Row],[Количество]]=Таблица8[[#This Row],[Принято]]+Таблица8[[#This Row],[Брак]]</f>
        <v>1</v>
      </c>
      <c r="I35" s="11">
        <f>Таблица8[[#This Row],[Количество]]*Таблица8[[#This Row],[Цена покупки CNY за единицу]]</f>
        <v>0</v>
      </c>
      <c r="J35" s="57">
        <f>SUMIFS(Курсы_валют!E:E,Курсы_валют!B:B,"CNY")+0.3</f>
        <v>11.6561</v>
      </c>
      <c r="K35">
        <v>1540.3645161290324</v>
      </c>
      <c r="L35" s="57">
        <f>SUMIFS(Курсы_валют!E:E,Курсы_валют!B:B,"USD")</f>
        <v>81.225700000000003</v>
      </c>
      <c r="M35" s="3">
        <f>L35*K35+(Таблица8[[#This Row],[Цена покупки CNY]]*Таблица8[[#This Row],[Курс CNY]])</f>
        <v>125117.18607774195</v>
      </c>
      <c r="N35" s="3">
        <f t="shared" si="3"/>
        <v>1839.9586187903228</v>
      </c>
      <c r="O35" t="s">
        <v>21</v>
      </c>
      <c r="P35" s="15">
        <f>VLOOKUP($A35,'Список товаров'!A:K,11,0)*D35/1000</f>
        <v>17</v>
      </c>
      <c r="Q35" s="4">
        <f>IFERROR((P35/SUMIFS(P:P,O:O,O35)*SUMIFS('BUYER доставка'!L:L,'BUYER доставка'!A:A,O35))/D35,"")</f>
        <v>119.83593664845816</v>
      </c>
      <c r="R35" s="5">
        <f t="shared" si="1"/>
        <v>1959.7945554387809</v>
      </c>
    </row>
    <row r="36" spans="1:19" x14ac:dyDescent="0.3">
      <c r="A36" s="15" t="s">
        <v>131</v>
      </c>
      <c r="B36" t="str">
        <f>VLOOKUP($A36,'Список товаров'!A:E,5,0)</f>
        <v>Камера мгновенной печати Print Camera Оранжевая Русифицированная</v>
      </c>
      <c r="C36" s="1">
        <v>45650</v>
      </c>
      <c r="D36">
        <v>100</v>
      </c>
      <c r="E36">
        <v>100</v>
      </c>
      <c r="G36" t="b">
        <f>Таблица8[[#This Row],[Количество]]=Таблица8[[#This Row],[Принято]]+Таблица8[[#This Row],[Брак]]</f>
        <v>1</v>
      </c>
      <c r="I36" s="11">
        <f>Таблица8[[#This Row],[Количество]]*Таблица8[[#This Row],[Цена покупки CNY за единицу]]</f>
        <v>0</v>
      </c>
      <c r="J36" s="57">
        <f>SUMIFS(Курсы_валют!E:E,Курсы_валют!B:B,"CNY")+0.3</f>
        <v>11.6561</v>
      </c>
      <c r="K36">
        <v>2202.27</v>
      </c>
      <c r="L36" s="57">
        <f>SUMIFS(Курсы_валют!E:E,Курсы_валют!B:B,"USD")</f>
        <v>81.225700000000003</v>
      </c>
      <c r="M36" s="3">
        <f>L36*K36+(Таблица8[[#This Row],[Цена покупки CNY]]*Таблица8[[#This Row],[Курс CNY]])</f>
        <v>178880.92233900001</v>
      </c>
      <c r="N36" s="3">
        <f t="shared" si="3"/>
        <v>1788.8092233900002</v>
      </c>
      <c r="O36" t="s">
        <v>22</v>
      </c>
      <c r="P36" s="15">
        <f>VLOOKUP($A36,'Список товаров'!A:K,11,0)*D36/1000</f>
        <v>25</v>
      </c>
      <c r="Q36" s="4">
        <f>IFERROR((P36/SUMIFS(P:P,O:O,O36)*SUMIFS('BUYER доставка'!L:L,'BUYER доставка'!A:A,O36))/D36,"")</f>
        <v>174.11151815329882</v>
      </c>
      <c r="R36" s="5">
        <f t="shared" si="1"/>
        <v>1962.9207415432991</v>
      </c>
    </row>
    <row r="37" spans="1:19" x14ac:dyDescent="0.3">
      <c r="A37" s="15" t="s">
        <v>135</v>
      </c>
      <c r="B37" t="str">
        <f>VLOOKUP($A37,'Список товаров'!A:E,5,0)</f>
        <v>Металлическая модель автобуса, свет, звук, инерционный бежевый</v>
      </c>
      <c r="C37" s="1">
        <v>45651</v>
      </c>
      <c r="D37">
        <v>50</v>
      </c>
      <c r="E37">
        <v>50</v>
      </c>
      <c r="G37" t="b">
        <f>Таблица8[[#This Row],[Количество]]=Таблица8[[#This Row],[Принято]]+Таблица8[[#This Row],[Брак]]</f>
        <v>1</v>
      </c>
      <c r="I37" s="11">
        <f>Таблица8[[#This Row],[Количество]]*Таблица8[[#This Row],[Цена покупки CNY за единицу]]</f>
        <v>0</v>
      </c>
      <c r="J37" s="57">
        <f>SUMIFS(Курсы_валют!E:E,Курсы_валют!B:B,"CNY")+0.3</f>
        <v>11.6561</v>
      </c>
      <c r="K37">
        <f t="shared" ref="K37:K42" si="4">D37*7.01</f>
        <v>350.5</v>
      </c>
      <c r="L37" s="57">
        <f>SUMIFS(Курсы_валют!E:E,Курсы_валют!B:B,"USD")</f>
        <v>81.225700000000003</v>
      </c>
      <c r="M37" s="3">
        <f>L37*K37+(Таблица8[[#This Row],[Цена покупки CNY]]*Таблица8[[#This Row],[Курс CNY]])</f>
        <v>28469.60785</v>
      </c>
      <c r="N37" s="3">
        <f t="shared" si="3"/>
        <v>569.392157</v>
      </c>
      <c r="O37" t="s">
        <v>23</v>
      </c>
      <c r="P37" s="15">
        <f>VLOOKUP($A37,'Список товаров'!A:K,11,0)*D37/1000</f>
        <v>20</v>
      </c>
      <c r="Q37" s="4">
        <f>IFERROR((P37/SUMIFS(P:P,O:O,O37)*SUMIFS('BUYER доставка'!L:L,'BUYER доставка'!A:A,O37))/D37,"")</f>
        <v>165.54904379586969</v>
      </c>
      <c r="R37" s="5">
        <f t="shared" si="1"/>
        <v>734.94120079586969</v>
      </c>
    </row>
    <row r="38" spans="1:19" x14ac:dyDescent="0.3">
      <c r="A38" s="15" t="s">
        <v>136</v>
      </c>
      <c r="B38" t="str">
        <f>VLOOKUP($A38,'Список товаров'!A:E,5,0)</f>
        <v>Металлическая модель автобуса, свет, звук, инерционный красный</v>
      </c>
      <c r="C38" s="1">
        <v>45651</v>
      </c>
      <c r="D38">
        <v>30</v>
      </c>
      <c r="E38">
        <v>30</v>
      </c>
      <c r="G38" t="b">
        <f>Таблица8[[#This Row],[Количество]]=Таблица8[[#This Row],[Принято]]+Таблица8[[#This Row],[Брак]]</f>
        <v>1</v>
      </c>
      <c r="I38" s="11">
        <f>Таблица8[[#This Row],[Количество]]*Таблица8[[#This Row],[Цена покупки CNY за единицу]]</f>
        <v>0</v>
      </c>
      <c r="J38" s="57">
        <f>SUMIFS(Курсы_валют!E:E,Курсы_валют!B:B,"CNY")+0.3</f>
        <v>11.6561</v>
      </c>
      <c r="K38">
        <f t="shared" si="4"/>
        <v>210.29999999999998</v>
      </c>
      <c r="L38" s="57">
        <f>SUMIFS(Курсы_валют!E:E,Курсы_валют!B:B,"USD")</f>
        <v>81.225700000000003</v>
      </c>
      <c r="M38" s="3">
        <f>L38*K38+(Таблица8[[#This Row],[Цена покупки CNY]]*Таблица8[[#This Row],[Курс CNY]])</f>
        <v>17081.764709999999</v>
      </c>
      <c r="N38" s="3">
        <f t="shared" si="3"/>
        <v>569.392157</v>
      </c>
      <c r="O38" t="s">
        <v>23</v>
      </c>
      <c r="P38" s="15">
        <f>VLOOKUP($A38,'Список товаров'!A:K,11,0)*D38/1000</f>
        <v>12</v>
      </c>
      <c r="Q38" s="4">
        <f>IFERROR((P38/SUMIFS(P:P,O:O,O38)*SUMIFS('BUYER доставка'!L:L,'BUYER доставка'!A:A,O38))/D38,"")</f>
        <v>165.54904379586969</v>
      </c>
      <c r="R38" s="5">
        <f t="shared" si="1"/>
        <v>734.94120079586969</v>
      </c>
    </row>
    <row r="39" spans="1:19" x14ac:dyDescent="0.3">
      <c r="A39" s="15" t="s">
        <v>137</v>
      </c>
      <c r="B39" t="str">
        <f>VLOOKUP($A39,'Список товаров'!A:E,5,0)</f>
        <v>Металлическая модель автобуса, свет, звук, инерционный синий</v>
      </c>
      <c r="C39" s="1">
        <v>45651</v>
      </c>
      <c r="D39">
        <v>50</v>
      </c>
      <c r="E39">
        <v>50</v>
      </c>
      <c r="G39" t="b">
        <f>Таблица8[[#This Row],[Количество]]=Таблица8[[#This Row],[Принято]]+Таблица8[[#This Row],[Брак]]</f>
        <v>1</v>
      </c>
      <c r="I39" s="11">
        <f>Таблица8[[#This Row],[Количество]]*Таблица8[[#This Row],[Цена покупки CNY за единицу]]</f>
        <v>0</v>
      </c>
      <c r="J39" s="57">
        <f>SUMIFS(Курсы_валют!E:E,Курсы_валют!B:B,"CNY")+0.3</f>
        <v>11.6561</v>
      </c>
      <c r="K39">
        <f t="shared" si="4"/>
        <v>350.5</v>
      </c>
      <c r="L39" s="57">
        <f>SUMIFS(Курсы_валют!E:E,Курсы_валют!B:B,"USD")</f>
        <v>81.225700000000003</v>
      </c>
      <c r="M39" s="3">
        <f>L39*K39+(Таблица8[[#This Row],[Цена покупки CNY]]*Таблица8[[#This Row],[Курс CNY]])</f>
        <v>28469.60785</v>
      </c>
      <c r="N39" s="3">
        <f t="shared" si="3"/>
        <v>569.392157</v>
      </c>
      <c r="O39" t="s">
        <v>23</v>
      </c>
      <c r="P39" s="15">
        <f>VLOOKUP($A39,'Список товаров'!A:K,11,0)*D39/1000</f>
        <v>20</v>
      </c>
      <c r="Q39" s="4">
        <f>IFERROR((P39/SUMIFS(P:P,O:O,O39)*SUMIFS('BUYER доставка'!L:L,'BUYER доставка'!A:A,O39))/D39,"")</f>
        <v>165.54904379586969</v>
      </c>
      <c r="R39" s="5">
        <f t="shared" si="1"/>
        <v>734.94120079586969</v>
      </c>
    </row>
    <row r="40" spans="1:19" x14ac:dyDescent="0.3">
      <c r="A40" s="15" t="s">
        <v>138</v>
      </c>
      <c r="B40" t="str">
        <f>VLOOKUP($A40,'Список товаров'!A:E,5,0)</f>
        <v>Металлическая модель автобуса инерционная, белая</v>
      </c>
      <c r="C40" s="1">
        <v>45651</v>
      </c>
      <c r="D40">
        <v>30</v>
      </c>
      <c r="E40">
        <v>30</v>
      </c>
      <c r="G40" t="b">
        <f>Таблица8[[#This Row],[Количество]]=Таблица8[[#This Row],[Принято]]+Таблица8[[#This Row],[Брак]]</f>
        <v>1</v>
      </c>
      <c r="I40" s="11">
        <f>Таблица8[[#This Row],[Количество]]*Таблица8[[#This Row],[Цена покупки CNY за единицу]]</f>
        <v>0</v>
      </c>
      <c r="J40" s="57">
        <f>SUMIFS(Курсы_валют!E:E,Курсы_валют!B:B,"CNY")+0.3</f>
        <v>11.6561</v>
      </c>
      <c r="K40">
        <f t="shared" si="4"/>
        <v>210.29999999999998</v>
      </c>
      <c r="L40" s="57">
        <f>SUMIFS(Курсы_валют!E:E,Курсы_валют!B:B,"USD")</f>
        <v>81.225700000000003</v>
      </c>
      <c r="M40" s="3">
        <f>L40*K40+(Таблица8[[#This Row],[Цена покупки CNY]]*Таблица8[[#This Row],[Курс CNY]])</f>
        <v>17081.764709999999</v>
      </c>
      <c r="N40" s="3">
        <f t="shared" si="3"/>
        <v>569.392157</v>
      </c>
      <c r="O40" t="s">
        <v>23</v>
      </c>
      <c r="P40" s="15">
        <f>VLOOKUP($A40,'Список товаров'!A:K,11,0)*D40/1000</f>
        <v>12</v>
      </c>
      <c r="Q40" s="4">
        <f>IFERROR((P40/SUMIFS(P:P,O:O,O40)*SUMIFS('BUYER доставка'!L:L,'BUYER доставка'!A:A,O40))/D40,"")</f>
        <v>165.54904379586969</v>
      </c>
      <c r="R40" s="5">
        <f t="shared" si="1"/>
        <v>734.94120079586969</v>
      </c>
    </row>
    <row r="41" spans="1:19" x14ac:dyDescent="0.3">
      <c r="A41" s="15" t="s">
        <v>141</v>
      </c>
      <c r="B41" t="str">
        <f>VLOOKUP($A41,'Список товаров'!A:E,5,0)</f>
        <v>Металлическая модель автобуса, свет, звук, инерционный белый Аэропорт экспресс1</v>
      </c>
      <c r="C41" s="1">
        <v>45651</v>
      </c>
      <c r="D41">
        <v>15</v>
      </c>
      <c r="E41">
        <v>15</v>
      </c>
      <c r="G41" t="b">
        <f>Таблица8[[#This Row],[Количество]]=Таблица8[[#This Row],[Принято]]+Таблица8[[#This Row],[Брак]]</f>
        <v>1</v>
      </c>
      <c r="I41" s="11">
        <f>Таблица8[[#This Row],[Количество]]*Таблица8[[#This Row],[Цена покупки CNY за единицу]]</f>
        <v>0</v>
      </c>
      <c r="J41" s="57">
        <f>SUMIFS(Курсы_валют!E:E,Курсы_валют!B:B,"CNY")+0.3</f>
        <v>11.6561</v>
      </c>
      <c r="K41">
        <f t="shared" si="4"/>
        <v>105.14999999999999</v>
      </c>
      <c r="L41" s="57">
        <f>SUMIFS(Курсы_валют!E:E,Курсы_валют!B:B,"USD")</f>
        <v>81.225700000000003</v>
      </c>
      <c r="M41" s="3">
        <f>L41*K41+(Таблица8[[#This Row],[Цена покупки CNY]]*Таблица8[[#This Row],[Курс CNY]])</f>
        <v>8540.8823549999997</v>
      </c>
      <c r="N41" s="3">
        <f t="shared" si="3"/>
        <v>569.392157</v>
      </c>
      <c r="O41" t="s">
        <v>23</v>
      </c>
      <c r="P41" s="15">
        <f>VLOOKUP($A41,'Список товаров'!A:K,11,0)*D41/1000</f>
        <v>6</v>
      </c>
      <c r="Q41" s="4">
        <f>IFERROR((P41/SUMIFS(P:P,O:O,O41)*SUMIFS('BUYER доставка'!L:L,'BUYER доставка'!A:A,O41))/D41,"")</f>
        <v>165.54904379586969</v>
      </c>
      <c r="R41" s="5">
        <f t="shared" si="1"/>
        <v>734.94120079586969</v>
      </c>
    </row>
    <row r="42" spans="1:19" x14ac:dyDescent="0.3">
      <c r="A42" s="15" t="s">
        <v>142</v>
      </c>
      <c r="B42" t="str">
        <f>VLOOKUP($A42,'Список товаров'!A:E,5,0)</f>
        <v>Металлическая модель автобуса, свет, звук, инерционный белый Аэропорт экспресс2</v>
      </c>
      <c r="C42" s="1">
        <v>45651</v>
      </c>
      <c r="D42">
        <v>15</v>
      </c>
      <c r="E42">
        <v>15</v>
      </c>
      <c r="G42" t="b">
        <f>Таблица8[[#This Row],[Количество]]=Таблица8[[#This Row],[Принято]]+Таблица8[[#This Row],[Брак]]</f>
        <v>1</v>
      </c>
      <c r="I42" s="11">
        <f>Таблица8[[#This Row],[Количество]]*Таблица8[[#This Row],[Цена покупки CNY за единицу]]</f>
        <v>0</v>
      </c>
      <c r="J42" s="57">
        <f>SUMIFS(Курсы_валют!E:E,Курсы_валют!B:B,"CNY")+0.3</f>
        <v>11.6561</v>
      </c>
      <c r="K42">
        <f t="shared" si="4"/>
        <v>105.14999999999999</v>
      </c>
      <c r="L42" s="57">
        <f>SUMIFS(Курсы_валют!E:E,Курсы_валют!B:B,"USD")</f>
        <v>81.225700000000003</v>
      </c>
      <c r="M42" s="3">
        <f>L42*K42+(Таблица8[[#This Row],[Цена покупки CNY]]*Таблица8[[#This Row],[Курс CNY]])</f>
        <v>8540.8823549999997</v>
      </c>
      <c r="N42" s="3">
        <f t="shared" si="3"/>
        <v>569.392157</v>
      </c>
      <c r="O42" t="s">
        <v>23</v>
      </c>
      <c r="P42" s="15">
        <f>VLOOKUP($A42,'Список товаров'!A:K,11,0)*D42/1000</f>
        <v>6</v>
      </c>
      <c r="Q42" s="4">
        <f>IFERROR((P42/SUMIFS(P:P,O:O,O42)*SUMIFS('BUYER доставка'!L:L,'BUYER доставка'!A:A,O42))/D42,"")</f>
        <v>165.54904379586969</v>
      </c>
      <c r="R42" s="5">
        <f t="shared" si="1"/>
        <v>734.94120079586969</v>
      </c>
    </row>
    <row r="43" spans="1:19" x14ac:dyDescent="0.3">
      <c r="A43" s="15" t="s">
        <v>132</v>
      </c>
      <c r="B43" t="str">
        <f>VLOOKUP($A43,'Список товаров'!A:E,5,0)</f>
        <v>Камера мгновенной печати Print Camera Розовая Русифицированная</v>
      </c>
      <c r="C43" s="1">
        <v>45675</v>
      </c>
      <c r="D43">
        <v>20</v>
      </c>
      <c r="E43">
        <v>20</v>
      </c>
      <c r="G43" t="b">
        <f>Таблица8[[#This Row],[Количество]]=Таблица8[[#This Row],[Принято]]+Таблица8[[#This Row],[Брак]]</f>
        <v>1</v>
      </c>
      <c r="I43" s="11">
        <f>Таблица8[[#This Row],[Количество]]*Таблица8[[#This Row],[Цена покупки CNY за единицу]]</f>
        <v>0</v>
      </c>
      <c r="J43" s="57">
        <f>SUMIFS(Курсы_валют!E:E,Курсы_валют!B:B,"CNY")+0.3</f>
        <v>11.6561</v>
      </c>
      <c r="K43" s="2">
        <v>445.71428571428572</v>
      </c>
      <c r="L43" s="57">
        <f>SUMIFS(Курсы_валют!E:E,Курсы_валют!B:B,"USD")</f>
        <v>81.225700000000003</v>
      </c>
      <c r="M43" s="3">
        <f>L43*K43+(Таблица8[[#This Row],[Цена покупки CNY]]*Таблица8[[#This Row],[Курс CNY]])</f>
        <v>36203.45485714286</v>
      </c>
      <c r="N43" s="3">
        <f t="shared" si="3"/>
        <v>1810.172742857143</v>
      </c>
      <c r="O43" t="s">
        <v>24</v>
      </c>
      <c r="P43" s="15">
        <f>VLOOKUP($A43,'Список товаров'!A:K,11,0)*D43/1000</f>
        <v>5</v>
      </c>
      <c r="Q43" s="4">
        <f>IFERROR((P43/SUMIFS(P:P,O:O,O43)*SUMIFS('BUYER доставка'!L:L,'BUYER доставка'!A:A,O43))/D43,"")</f>
        <v>284.38687026446382</v>
      </c>
      <c r="R43" s="5">
        <f t="shared" si="1"/>
        <v>2094.5596131216071</v>
      </c>
    </row>
    <row r="44" spans="1:19" x14ac:dyDescent="0.3">
      <c r="A44" s="15" t="s">
        <v>134</v>
      </c>
      <c r="B44" t="str">
        <f>VLOOKUP($A44,'Список товаров'!A:E,5,0)</f>
        <v>Металлическая модель грузовика Мерседес серо-голубой с прицепом, иннерционная, 31см, звук и свет</v>
      </c>
      <c r="C44" s="1">
        <v>45675</v>
      </c>
      <c r="D44">
        <v>15</v>
      </c>
      <c r="E44">
        <v>15</v>
      </c>
      <c r="G44" t="b">
        <f>Таблица8[[#This Row],[Количество]]=Таблица8[[#This Row],[Принято]]+Таблица8[[#This Row],[Брак]]</f>
        <v>1</v>
      </c>
      <c r="I44" s="11">
        <f>Таблица8[[#This Row],[Количество]]*Таблица8[[#This Row],[Цена покупки CNY за единицу]]</f>
        <v>0</v>
      </c>
      <c r="J44" s="57">
        <f>SUMIFS(Курсы_валют!E:E,Курсы_валют!B:B,"CNY")+0.3</f>
        <v>11.6561</v>
      </c>
      <c r="K44" s="2">
        <v>67.652943620782921</v>
      </c>
      <c r="L44" s="57">
        <f>SUMIFS(Курсы_валют!E:E,Курсы_валют!B:B,"USD")</f>
        <v>81.225700000000003</v>
      </c>
      <c r="M44" s="3">
        <f>L44*K44+(Таблица8[[#This Row],[Цена покупки CNY]]*Таблица8[[#This Row],[Курс CNY]])</f>
        <v>5495.1577026586274</v>
      </c>
      <c r="N44" s="3">
        <f t="shared" si="3"/>
        <v>366.34384684390847</v>
      </c>
      <c r="O44" t="s">
        <v>25</v>
      </c>
      <c r="P44" s="15">
        <f>VLOOKUP($A44,'Список товаров'!A:K,11,0)*D44/1000</f>
        <v>7.5</v>
      </c>
      <c r="Q44" s="4">
        <f>IFERROR((P44/SUMIFS(P:P,O:O,O44)*SUMIFS('BUYER доставка'!L:L,'BUYER доставка'!A:A,O44))/D44,"")</f>
        <v>206.10061047432814</v>
      </c>
      <c r="R44" s="5">
        <f t="shared" si="1"/>
        <v>572.44445731823657</v>
      </c>
      <c r="S44" s="5"/>
    </row>
    <row r="45" spans="1:19" x14ac:dyDescent="0.3">
      <c r="A45" s="15" t="s">
        <v>139</v>
      </c>
      <c r="B45" t="str">
        <f>VLOOKUP($A45,'Список товаров'!A:E,5,0)</f>
        <v>Металлическая модель грузовика Мерседес черно-желтый с прицепом, иннерционная, 31см, звук и свет</v>
      </c>
      <c r="C45" s="1">
        <v>45675</v>
      </c>
      <c r="D45">
        <v>15</v>
      </c>
      <c r="E45">
        <v>15</v>
      </c>
      <c r="G45" t="b">
        <f>Таблица8[[#This Row],[Количество]]=Таблица8[[#This Row],[Принято]]+Таблица8[[#This Row],[Брак]]</f>
        <v>1</v>
      </c>
      <c r="I45" s="11">
        <f>Таблица8[[#This Row],[Количество]]*Таблица8[[#This Row],[Цена покупки CNY за единицу]]</f>
        <v>0</v>
      </c>
      <c r="J45" s="57">
        <f>SUMIFS(Курсы_валют!E:E,Курсы_валют!B:B,"CNY")+0.3</f>
        <v>11.6561</v>
      </c>
      <c r="K45" s="2">
        <v>67.652943620782921</v>
      </c>
      <c r="L45" s="57">
        <f>SUMIFS(Курсы_валют!E:E,Курсы_валют!B:B,"USD")</f>
        <v>81.225700000000003</v>
      </c>
      <c r="M45" s="3">
        <f>L45*K45+(Таблица8[[#This Row],[Цена покупки CNY]]*Таблица8[[#This Row],[Курс CNY]])</f>
        <v>5495.1577026586274</v>
      </c>
      <c r="N45" s="3">
        <f t="shared" si="3"/>
        <v>366.34384684390847</v>
      </c>
      <c r="O45" t="s">
        <v>25</v>
      </c>
      <c r="P45" s="15">
        <f>VLOOKUP($A45,'Список товаров'!A:K,11,0)*D45/1000</f>
        <v>7.5</v>
      </c>
      <c r="Q45" s="4">
        <f>IFERROR((P45/SUMIFS(P:P,O:O,O45)*SUMIFS('BUYER доставка'!L:L,'BUYER доставка'!A:A,O45))/D45,"")</f>
        <v>206.10061047432814</v>
      </c>
      <c r="R45" s="5">
        <f t="shared" si="1"/>
        <v>572.44445731823657</v>
      </c>
      <c r="S45" s="5"/>
    </row>
    <row r="46" spans="1:19" x14ac:dyDescent="0.3">
      <c r="A46" s="15" t="s">
        <v>140</v>
      </c>
      <c r="B46" t="str">
        <f>VLOOKUP($A46,'Список товаров'!A:E,5,0)</f>
        <v>Металлическая модель грузовика Мерседес бело-коричневый с прицепом, иннерционная, 31см, звук и свет</v>
      </c>
      <c r="C46" s="1">
        <v>45675</v>
      </c>
      <c r="D46">
        <v>8</v>
      </c>
      <c r="E46">
        <v>8</v>
      </c>
      <c r="G46" t="b">
        <f>Таблица8[[#This Row],[Количество]]=Таблица8[[#This Row],[Принято]]+Таблица8[[#This Row],[Брак]]</f>
        <v>1</v>
      </c>
      <c r="I46" s="11">
        <f>Таблица8[[#This Row],[Количество]]*Таблица8[[#This Row],[Цена покупки CNY за единицу]]</f>
        <v>0</v>
      </c>
      <c r="J46" s="57">
        <f>SUMIFS(Курсы_валют!E:E,Курсы_валют!B:B,"CNY")+0.3</f>
        <v>11.6561</v>
      </c>
      <c r="K46" s="2">
        <v>36.081569931084225</v>
      </c>
      <c r="L46" s="57">
        <f>SUMIFS(Курсы_валют!E:E,Курсы_валют!B:B,"USD")</f>
        <v>81.225700000000003</v>
      </c>
      <c r="M46" s="3">
        <f>L46*K46+(Таблица8[[#This Row],[Цена покупки CNY]]*Таблица8[[#This Row],[Курс CNY]])</f>
        <v>2930.7507747512682</v>
      </c>
      <c r="N46" s="3">
        <f t="shared" si="3"/>
        <v>366.34384684390852</v>
      </c>
      <c r="O46" t="s">
        <v>25</v>
      </c>
      <c r="P46" s="15">
        <f>VLOOKUP($A46,'Список товаров'!A:K,11,0)*D46/1000</f>
        <v>4</v>
      </c>
      <c r="Q46" s="4">
        <f>IFERROR((P46/SUMIFS(P:P,O:O,O46)*SUMIFS('BUYER доставка'!L:L,'BUYER доставка'!A:A,O46))/D46,"")</f>
        <v>206.10061047432811</v>
      </c>
      <c r="R46" s="5">
        <f t="shared" si="1"/>
        <v>572.44445731823657</v>
      </c>
      <c r="S46" s="5"/>
    </row>
    <row r="47" spans="1:19" x14ac:dyDescent="0.3">
      <c r="A47" s="15" t="s">
        <v>146</v>
      </c>
      <c r="B47" t="str">
        <f>VLOOKUP($A47,'Список товаров'!A:E,5,0)</f>
        <v>Металлическая модель грузовика Мерседес бело-серый с прицепом, иннерционная, 31см, звук и свет</v>
      </c>
      <c r="C47" s="1">
        <v>45675</v>
      </c>
      <c r="D47">
        <v>15</v>
      </c>
      <c r="E47">
        <v>15</v>
      </c>
      <c r="G47" t="b">
        <f>Таблица8[[#This Row],[Количество]]=Таблица8[[#This Row],[Принято]]+Таблица8[[#This Row],[Брак]]</f>
        <v>1</v>
      </c>
      <c r="I47" s="11">
        <f>Таблица8[[#This Row],[Количество]]*Таблица8[[#This Row],[Цена покупки CNY за единицу]]</f>
        <v>0</v>
      </c>
      <c r="J47" s="57">
        <f>SUMIFS(Курсы_валют!E:E,Курсы_валют!B:B,"CNY")+0.3</f>
        <v>11.6561</v>
      </c>
      <c r="K47" s="2">
        <v>67.652943620782921</v>
      </c>
      <c r="L47" s="57">
        <f>SUMIFS(Курсы_валют!E:E,Курсы_валют!B:B,"USD")</f>
        <v>81.225700000000003</v>
      </c>
      <c r="M47" s="3">
        <f>L47*K47+(Таблица8[[#This Row],[Цена покупки CNY]]*Таблица8[[#This Row],[Курс CNY]])</f>
        <v>5495.1577026586274</v>
      </c>
      <c r="N47" s="3">
        <f t="shared" si="3"/>
        <v>366.34384684390847</v>
      </c>
      <c r="O47" t="s">
        <v>25</v>
      </c>
      <c r="P47" s="15">
        <f>VLOOKUP($A47,'Список товаров'!A:K,11,0)*D47/1000</f>
        <v>7.5</v>
      </c>
      <c r="Q47" s="4">
        <f>IFERROR((P47/SUMIFS(P:P,O:O,O47)*SUMIFS('BUYER доставка'!L:L,'BUYER доставка'!A:A,O47))/D47,"")</f>
        <v>206.10061047432814</v>
      </c>
      <c r="R47" s="5">
        <f t="shared" si="1"/>
        <v>572.44445731823657</v>
      </c>
      <c r="S47" s="5"/>
    </row>
    <row r="48" spans="1:19" x14ac:dyDescent="0.3">
      <c r="A48" s="15" t="s">
        <v>147</v>
      </c>
      <c r="B48" t="str">
        <f>VLOOKUP($A48,'Список товаров'!A:E,5,0)</f>
        <v>Металлическая модель грузовика Мерседес сине-коричневый с прицепом, иннерционная, 31см, звук и свет</v>
      </c>
      <c r="C48" s="1">
        <v>45675</v>
      </c>
      <c r="D48">
        <v>15</v>
      </c>
      <c r="E48">
        <v>15</v>
      </c>
      <c r="G48" t="b">
        <f>Таблица8[[#This Row],[Количество]]=Таблица8[[#This Row],[Принято]]+Таблица8[[#This Row],[Брак]]</f>
        <v>1</v>
      </c>
      <c r="I48" s="11">
        <f>Таблица8[[#This Row],[Количество]]*Таблица8[[#This Row],[Цена покупки CNY за единицу]]</f>
        <v>0</v>
      </c>
      <c r="J48" s="57">
        <f>SUMIFS(Курсы_валют!E:E,Курсы_валют!B:B,"CNY")+0.3</f>
        <v>11.6561</v>
      </c>
      <c r="K48" s="2">
        <v>67.652943620782921</v>
      </c>
      <c r="L48" s="57">
        <f>SUMIFS(Курсы_валют!E:E,Курсы_валют!B:B,"USD")</f>
        <v>81.225700000000003</v>
      </c>
      <c r="M48" s="3">
        <f>L48*K48+(Таблица8[[#This Row],[Цена покупки CNY]]*Таблица8[[#This Row],[Курс CNY]])</f>
        <v>5495.1577026586274</v>
      </c>
      <c r="N48" s="3">
        <f t="shared" si="3"/>
        <v>366.34384684390847</v>
      </c>
      <c r="O48" t="s">
        <v>25</v>
      </c>
      <c r="P48" s="15">
        <f>VLOOKUP($A48,'Список товаров'!A:K,11,0)*D48/1000</f>
        <v>7.5</v>
      </c>
      <c r="Q48" s="4">
        <f>IFERROR((P48/SUMIFS(P:P,O:O,O48)*SUMIFS('BUYER доставка'!L:L,'BUYER доставка'!A:A,O48))/D48,"")</f>
        <v>206.10061047432814</v>
      </c>
      <c r="R48" s="5">
        <f t="shared" si="1"/>
        <v>572.44445731823657</v>
      </c>
      <c r="S48" s="5"/>
    </row>
    <row r="49" spans="1:19" x14ac:dyDescent="0.3">
      <c r="A49" s="15" t="s">
        <v>148</v>
      </c>
      <c r="B49" t="str">
        <f>VLOOKUP($A49,'Список товаров'!A:E,5,0)</f>
        <v>Металлическая модель грузовика Мерседес черно-серый с прицепом, иннерционная, 31см, звук и свет</v>
      </c>
      <c r="C49" s="1">
        <v>45675</v>
      </c>
      <c r="D49">
        <v>15</v>
      </c>
      <c r="E49">
        <v>15</v>
      </c>
      <c r="G49" t="b">
        <f>Таблица8[[#This Row],[Количество]]=Таблица8[[#This Row],[Принято]]+Таблица8[[#This Row],[Брак]]</f>
        <v>1</v>
      </c>
      <c r="I49" s="11">
        <f>Таблица8[[#This Row],[Количество]]*Таблица8[[#This Row],[Цена покупки CNY за единицу]]</f>
        <v>0</v>
      </c>
      <c r="J49" s="57">
        <f>SUMIFS(Курсы_валют!E:E,Курсы_валют!B:B,"CNY")+0.3</f>
        <v>11.6561</v>
      </c>
      <c r="K49" s="2">
        <v>67.652943620782921</v>
      </c>
      <c r="L49" s="57">
        <f>SUMIFS(Курсы_валют!E:E,Курсы_валют!B:B,"USD")</f>
        <v>81.225700000000003</v>
      </c>
      <c r="M49" s="3">
        <f>L49*K49+(Таблица8[[#This Row],[Цена покупки CNY]]*Таблица8[[#This Row],[Курс CNY]])</f>
        <v>5495.1577026586274</v>
      </c>
      <c r="N49" s="3">
        <f t="shared" si="3"/>
        <v>366.34384684390847</v>
      </c>
      <c r="O49" t="s">
        <v>25</v>
      </c>
      <c r="P49" s="15">
        <f>VLOOKUP($A49,'Список товаров'!A:K,11,0)*D49/1000</f>
        <v>7.5</v>
      </c>
      <c r="Q49" s="4">
        <f>IFERROR((P49/SUMIFS(P:P,O:O,O49)*SUMIFS('BUYER доставка'!L:L,'BUYER доставка'!A:A,O49))/D49,"")</f>
        <v>206.10061047432814</v>
      </c>
      <c r="R49" s="5">
        <f t="shared" si="1"/>
        <v>572.44445731823657</v>
      </c>
      <c r="S49" s="5"/>
    </row>
    <row r="50" spans="1:19" x14ac:dyDescent="0.3">
      <c r="A50" s="15" t="s">
        <v>149</v>
      </c>
      <c r="B50" t="str">
        <f>VLOOKUP($A50,'Список товаров'!A:E,5,0)</f>
        <v>Металлическая модель грузовика Мерседес черно-синий с прицепом, иннерционная, 31см, звук и свет</v>
      </c>
      <c r="C50" s="1">
        <v>45675</v>
      </c>
      <c r="D50">
        <v>15</v>
      </c>
      <c r="E50">
        <v>15</v>
      </c>
      <c r="G50" t="b">
        <f>Таблица8[[#This Row],[Количество]]=Таблица8[[#This Row],[Принято]]+Таблица8[[#This Row],[Брак]]</f>
        <v>1</v>
      </c>
      <c r="I50" s="11">
        <f>Таблица8[[#This Row],[Количество]]*Таблица8[[#This Row],[Цена покупки CNY за единицу]]</f>
        <v>0</v>
      </c>
      <c r="J50" s="57">
        <f>SUMIFS(Курсы_валют!E:E,Курсы_валют!B:B,"CNY")+0.3</f>
        <v>11.6561</v>
      </c>
      <c r="K50" s="2">
        <v>67.652943620782921</v>
      </c>
      <c r="L50" s="57">
        <f>SUMIFS(Курсы_валют!E:E,Курсы_валют!B:B,"USD")</f>
        <v>81.225700000000003</v>
      </c>
      <c r="M50" s="3">
        <f>L50*K50+(Таблица8[[#This Row],[Цена покупки CNY]]*Таблица8[[#This Row],[Курс CNY]])</f>
        <v>5495.1577026586274</v>
      </c>
      <c r="N50" s="3">
        <f t="shared" si="3"/>
        <v>366.34384684390847</v>
      </c>
      <c r="O50" t="s">
        <v>25</v>
      </c>
      <c r="P50" s="15">
        <f>VLOOKUP($A50,'Список товаров'!A:K,11,0)*D50/1000</f>
        <v>7.5</v>
      </c>
      <c r="Q50" s="4">
        <f>IFERROR((P50/SUMIFS(P:P,O:O,O50)*SUMIFS('BUYER доставка'!L:L,'BUYER доставка'!A:A,O50))/D50,"")</f>
        <v>206.10061047432814</v>
      </c>
      <c r="R50" s="5">
        <f t="shared" si="1"/>
        <v>572.44445731823657</v>
      </c>
      <c r="S50" s="5"/>
    </row>
    <row r="51" spans="1:19" x14ac:dyDescent="0.3">
      <c r="A51" s="15" t="s">
        <v>150</v>
      </c>
      <c r="B51" t="str">
        <f>VLOOKUP($A51,'Список товаров'!A:E,5,0)</f>
        <v>Металлическая модель грузовика Мерседес синий с прицепом, иннерционная, 31см, звук и свет</v>
      </c>
      <c r="C51" s="1">
        <v>45675</v>
      </c>
      <c r="D51">
        <v>15</v>
      </c>
      <c r="E51">
        <v>15</v>
      </c>
      <c r="G51" t="b">
        <f>Таблица8[[#This Row],[Количество]]=Таблица8[[#This Row],[Принято]]+Таблица8[[#This Row],[Брак]]</f>
        <v>1</v>
      </c>
      <c r="I51" s="11">
        <f>Таблица8[[#This Row],[Количество]]*Таблица8[[#This Row],[Цена покупки CNY за единицу]]</f>
        <v>0</v>
      </c>
      <c r="J51" s="57">
        <f>SUMIFS(Курсы_валют!E:E,Курсы_валют!B:B,"CNY")+0.3</f>
        <v>11.6561</v>
      </c>
      <c r="K51" s="2">
        <v>67.652943620782921</v>
      </c>
      <c r="L51" s="57">
        <f>SUMIFS(Курсы_валют!E:E,Курсы_валют!B:B,"USD")</f>
        <v>81.225700000000003</v>
      </c>
      <c r="M51" s="3">
        <f>L51*K51+(Таблица8[[#This Row],[Цена покупки CNY]]*Таблица8[[#This Row],[Курс CNY]])</f>
        <v>5495.1577026586274</v>
      </c>
      <c r="N51" s="3">
        <f t="shared" si="3"/>
        <v>366.34384684390847</v>
      </c>
      <c r="O51" t="s">
        <v>25</v>
      </c>
      <c r="P51" s="15">
        <f>VLOOKUP($A51,'Список товаров'!A:K,11,0)*D51/1000</f>
        <v>7.5</v>
      </c>
      <c r="Q51" s="4">
        <f>IFERROR((P51/SUMIFS(P:P,O:O,O51)*SUMIFS('BUYER доставка'!L:L,'BUYER доставка'!A:A,O51))/D51,"")</f>
        <v>206.10061047432814</v>
      </c>
      <c r="R51" s="5">
        <f t="shared" si="1"/>
        <v>572.44445731823657</v>
      </c>
      <c r="S51" s="5"/>
    </row>
    <row r="52" spans="1:19" x14ac:dyDescent="0.3">
      <c r="A52" s="15" t="s">
        <v>151</v>
      </c>
      <c r="B52" t="str">
        <f>VLOOKUP($A52,'Список товаров'!A:E,5,0)</f>
        <v>Металлическая модель грузовика Мерседес бело-синий с прицепом, иннерционная, 31см, звук и свет</v>
      </c>
      <c r="C52" s="1">
        <v>45675</v>
      </c>
      <c r="D52">
        <v>15</v>
      </c>
      <c r="E52">
        <v>15</v>
      </c>
      <c r="G52" t="b">
        <f>Таблица8[[#This Row],[Количество]]=Таблица8[[#This Row],[Принято]]+Таблица8[[#This Row],[Брак]]</f>
        <v>1</v>
      </c>
      <c r="I52" s="11">
        <f>Таблица8[[#This Row],[Количество]]*Таблица8[[#This Row],[Цена покупки CNY за единицу]]</f>
        <v>0</v>
      </c>
      <c r="J52" s="57">
        <f>SUMIFS(Курсы_валют!E:E,Курсы_валют!B:B,"CNY")+0.3</f>
        <v>11.6561</v>
      </c>
      <c r="K52" s="2">
        <v>67.652943620782921</v>
      </c>
      <c r="L52" s="57">
        <f>SUMIFS(Курсы_валют!E:E,Курсы_валют!B:B,"USD")</f>
        <v>81.225700000000003</v>
      </c>
      <c r="M52" s="3">
        <f>L52*K52+(Таблица8[[#This Row],[Цена покупки CNY]]*Таблица8[[#This Row],[Курс CNY]])</f>
        <v>5495.1577026586274</v>
      </c>
      <c r="N52" s="3">
        <f t="shared" si="3"/>
        <v>366.34384684390847</v>
      </c>
      <c r="O52" t="s">
        <v>25</v>
      </c>
      <c r="P52" s="15">
        <f>VLOOKUP($A52,'Список товаров'!A:K,11,0)*D52/1000</f>
        <v>7.5</v>
      </c>
      <c r="Q52" s="4">
        <f>IFERROR((P52/SUMIFS(P:P,O:O,O52)*SUMIFS('BUYER доставка'!L:L,'BUYER доставка'!A:A,O52))/D52,"")</f>
        <v>206.10061047432814</v>
      </c>
      <c r="R52" s="5">
        <f t="shared" si="1"/>
        <v>572.44445731823657</v>
      </c>
      <c r="S52" s="5"/>
    </row>
    <row r="53" spans="1:19" x14ac:dyDescent="0.3">
      <c r="A53" s="15" t="s">
        <v>152</v>
      </c>
      <c r="B53" t="str">
        <f>VLOOKUP($A53,'Список товаров'!A:E,5,0)</f>
        <v>Металлическая модель грузовика Мерседес сине-желтый с прицепом, иннерционная, 31см, звук и свет</v>
      </c>
      <c r="C53" s="1">
        <v>45675</v>
      </c>
      <c r="D53">
        <v>15</v>
      </c>
      <c r="E53">
        <v>15</v>
      </c>
      <c r="G53" t="b">
        <f>Таблица8[[#This Row],[Количество]]=Таблица8[[#This Row],[Принято]]+Таблица8[[#This Row],[Брак]]</f>
        <v>1</v>
      </c>
      <c r="I53" s="11">
        <f>Таблица8[[#This Row],[Количество]]*Таблица8[[#This Row],[Цена покупки CNY за единицу]]</f>
        <v>0</v>
      </c>
      <c r="J53" s="57">
        <f>SUMIFS(Курсы_валют!E:E,Курсы_валют!B:B,"CNY")+0.3</f>
        <v>11.6561</v>
      </c>
      <c r="K53" s="2">
        <v>67.652943620782921</v>
      </c>
      <c r="L53" s="57">
        <f>SUMIFS(Курсы_валют!E:E,Курсы_валют!B:B,"USD")</f>
        <v>81.225700000000003</v>
      </c>
      <c r="M53" s="3">
        <f>L53*K53+(Таблица8[[#This Row],[Цена покупки CNY]]*Таблица8[[#This Row],[Курс CNY]])</f>
        <v>5495.1577026586274</v>
      </c>
      <c r="N53" s="3">
        <f t="shared" si="3"/>
        <v>366.34384684390847</v>
      </c>
      <c r="O53" t="s">
        <v>25</v>
      </c>
      <c r="P53" s="15">
        <f>VLOOKUP($A53,'Список товаров'!A:K,11,0)*D53/1000</f>
        <v>7.5</v>
      </c>
      <c r="Q53" s="4">
        <f>IFERROR((P53/SUMIFS(P:P,O:O,O53)*SUMIFS('BUYER доставка'!L:L,'BUYER доставка'!A:A,O53))/D53,"")</f>
        <v>206.10061047432814</v>
      </c>
      <c r="R53" s="5">
        <f t="shared" si="1"/>
        <v>572.44445731823657</v>
      </c>
      <c r="S53" s="5"/>
    </row>
    <row r="54" spans="1:19" x14ac:dyDescent="0.3">
      <c r="A54" s="15" t="s">
        <v>153</v>
      </c>
      <c r="B54" t="str">
        <f>VLOOKUP($A54,'Список товаров'!A:E,5,0)</f>
        <v>Металлическая модель грузовика Мерседес бело-желтый с прицепом, иннерционная, 31см, звук и свет</v>
      </c>
      <c r="C54" s="1">
        <v>45675</v>
      </c>
      <c r="D54">
        <v>15</v>
      </c>
      <c r="E54">
        <v>15</v>
      </c>
      <c r="G54" t="b">
        <f>Таблица8[[#This Row],[Количество]]=Таблица8[[#This Row],[Принято]]+Таблица8[[#This Row],[Брак]]</f>
        <v>1</v>
      </c>
      <c r="I54" s="11">
        <f>Таблица8[[#This Row],[Количество]]*Таблица8[[#This Row],[Цена покупки CNY за единицу]]</f>
        <v>0</v>
      </c>
      <c r="J54" s="57">
        <f>SUMIFS(Курсы_валют!E:E,Курсы_валют!B:B,"CNY")+0.3</f>
        <v>11.6561</v>
      </c>
      <c r="K54" s="2">
        <v>67.652943620782921</v>
      </c>
      <c r="L54" s="57">
        <f>SUMIFS(Курсы_валют!E:E,Курсы_валют!B:B,"USD")</f>
        <v>81.225700000000003</v>
      </c>
      <c r="M54" s="3">
        <f>L54*K54+(Таблица8[[#This Row],[Цена покупки CNY]]*Таблица8[[#This Row],[Курс CNY]])</f>
        <v>5495.1577026586274</v>
      </c>
      <c r="N54" s="3">
        <f t="shared" si="3"/>
        <v>366.34384684390847</v>
      </c>
      <c r="O54" t="s">
        <v>25</v>
      </c>
      <c r="P54" s="15">
        <f>VLOOKUP($A54,'Список товаров'!A:K,11,0)*D54/1000</f>
        <v>7.5</v>
      </c>
      <c r="Q54" s="4">
        <f>IFERROR((P54/SUMIFS(P:P,O:O,O54)*SUMIFS('BUYER доставка'!L:L,'BUYER доставка'!A:A,O54))/D54,"")</f>
        <v>206.10061047432814</v>
      </c>
      <c r="R54" s="5">
        <f t="shared" si="1"/>
        <v>572.44445731823657</v>
      </c>
      <c r="S54" s="5"/>
    </row>
    <row r="55" spans="1:19" x14ac:dyDescent="0.3">
      <c r="A55" s="15" t="s">
        <v>143</v>
      </c>
      <c r="B55" t="str">
        <f>VLOOKUP($A55,'Список товаров'!A:E,5,0)</f>
        <v>Металлическая модель автовоза черная, инерционная, 41 см</v>
      </c>
      <c r="C55" s="1">
        <v>45675</v>
      </c>
      <c r="D55">
        <v>15</v>
      </c>
      <c r="E55">
        <v>15</v>
      </c>
      <c r="G55" t="b">
        <f>Таблица8[[#This Row],[Количество]]=Таблица8[[#This Row],[Принято]]+Таблица8[[#This Row],[Брак]]</f>
        <v>1</v>
      </c>
      <c r="I55" s="11">
        <f>Таблица8[[#This Row],[Количество]]*Таблица8[[#This Row],[Цена покупки CNY за единицу]]</f>
        <v>0</v>
      </c>
      <c r="J55" s="57">
        <f>SUMIFS(Курсы_валют!E:E,Курсы_валют!B:B,"CNY")+0.3</f>
        <v>11.6561</v>
      </c>
      <c r="K55" s="2">
        <v>63.613961912079468</v>
      </c>
      <c r="L55" s="57">
        <f>SUMIFS(Курсы_валют!E:E,Курсы_валют!B:B,"USD")</f>
        <v>81.225700000000003</v>
      </c>
      <c r="M55" s="3">
        <f>L55*K55+(Таблица8[[#This Row],[Цена покупки CNY]]*Таблица8[[#This Row],[Курс CNY]])</f>
        <v>5167.0885860819935</v>
      </c>
      <c r="N55" s="3">
        <f t="shared" si="3"/>
        <v>344.47257240546622</v>
      </c>
      <c r="O55" t="s">
        <v>25</v>
      </c>
      <c r="P55" s="15">
        <f>VLOOKUP($A55,'Список товаров'!A:K,11,0)*D55/1000</f>
        <v>7.5</v>
      </c>
      <c r="Q55" s="4">
        <f>IFERROR((P55/SUMIFS(P:P,O:O,O55)*SUMIFS('BUYER доставка'!L:L,'BUYER доставка'!A:A,O55))/D55,"")</f>
        <v>206.10061047432814</v>
      </c>
      <c r="R55" s="5">
        <f t="shared" si="1"/>
        <v>550.57318287979433</v>
      </c>
      <c r="S55" s="5"/>
    </row>
    <row r="56" spans="1:19" x14ac:dyDescent="0.3">
      <c r="A56" s="15" t="s">
        <v>144</v>
      </c>
      <c r="B56" t="str">
        <f>VLOOKUP($A56,'Список товаров'!A:E,5,0)</f>
        <v>Металлическая модель автовоза синяя, инерционная, 41 см</v>
      </c>
      <c r="C56" s="1">
        <v>45675</v>
      </c>
      <c r="D56">
        <v>15</v>
      </c>
      <c r="E56">
        <v>15</v>
      </c>
      <c r="G56" t="b">
        <f>Таблица8[[#This Row],[Количество]]=Таблица8[[#This Row],[Принято]]+Таблица8[[#This Row],[Брак]]</f>
        <v>1</v>
      </c>
      <c r="I56" s="11">
        <f>Таблица8[[#This Row],[Количество]]*Таблица8[[#This Row],[Цена покупки CNY за единицу]]</f>
        <v>0</v>
      </c>
      <c r="J56" s="57">
        <f>SUMIFS(Курсы_валют!E:E,Курсы_валют!B:B,"CNY")+0.3</f>
        <v>11.6561</v>
      </c>
      <c r="K56" s="2">
        <v>63.613961912079468</v>
      </c>
      <c r="L56" s="57">
        <f>SUMIFS(Курсы_валют!E:E,Курсы_валют!B:B,"USD")</f>
        <v>81.225700000000003</v>
      </c>
      <c r="M56" s="3">
        <f>L56*K56+(Таблица8[[#This Row],[Цена покупки CNY]]*Таблица8[[#This Row],[Курс CNY]])</f>
        <v>5167.0885860819935</v>
      </c>
      <c r="N56" s="3">
        <f t="shared" si="3"/>
        <v>344.47257240546622</v>
      </c>
      <c r="O56" t="s">
        <v>25</v>
      </c>
      <c r="P56" s="15">
        <f>VLOOKUP($A56,'Список товаров'!A:K,11,0)*D56/1000</f>
        <v>7.5</v>
      </c>
      <c r="Q56" s="4">
        <f>IFERROR((P56/SUMIFS(P:P,O:O,O56)*SUMIFS('BUYER доставка'!L:L,'BUYER доставка'!A:A,O56))/D56,"")</f>
        <v>206.10061047432814</v>
      </c>
      <c r="R56" s="5">
        <f t="shared" si="1"/>
        <v>550.57318287979433</v>
      </c>
      <c r="S56" s="5"/>
    </row>
    <row r="57" spans="1:19" x14ac:dyDescent="0.3">
      <c r="A57" s="15" t="s">
        <v>145</v>
      </c>
      <c r="B57" t="str">
        <f>VLOOKUP($A57,'Список товаров'!A:E,5,0)</f>
        <v>Металлическая модель автовоза белая, инерционная, 41 см</v>
      </c>
      <c r="C57" s="1">
        <v>45675</v>
      </c>
      <c r="D57">
        <v>15</v>
      </c>
      <c r="E57">
        <v>15</v>
      </c>
      <c r="G57" t="b">
        <f>Таблица8[[#This Row],[Количество]]=Таблица8[[#This Row],[Принято]]+Таблица8[[#This Row],[Брак]]</f>
        <v>1</v>
      </c>
      <c r="I57" s="11">
        <f>Таблица8[[#This Row],[Количество]]*Таблица8[[#This Row],[Цена покупки CNY за единицу]]</f>
        <v>0</v>
      </c>
      <c r="J57" s="57">
        <f>SUMIFS(Курсы_валют!E:E,Курсы_валют!B:B,"CNY")+0.3</f>
        <v>11.6561</v>
      </c>
      <c r="K57" s="2">
        <v>63.613961912079468</v>
      </c>
      <c r="L57" s="57">
        <f>SUMIFS(Курсы_валют!E:E,Курсы_валют!B:B,"USD")</f>
        <v>81.225700000000003</v>
      </c>
      <c r="M57" s="3">
        <f>L57*K57+(Таблица8[[#This Row],[Цена покупки CNY]]*Таблица8[[#This Row],[Курс CNY]])</f>
        <v>5167.0885860819935</v>
      </c>
      <c r="N57" s="3">
        <f t="shared" si="3"/>
        <v>344.47257240546622</v>
      </c>
      <c r="O57" t="s">
        <v>25</v>
      </c>
      <c r="P57" s="15">
        <f>VLOOKUP($A57,'Список товаров'!A:K,11,0)*D57/1000</f>
        <v>7.5</v>
      </c>
      <c r="Q57" s="4">
        <f>IFERROR((P57/SUMIFS(P:P,O:O,O57)*SUMIFS('BUYER доставка'!L:L,'BUYER доставка'!A:A,O57))/D57,"")</f>
        <v>206.10061047432814</v>
      </c>
      <c r="R57" s="5">
        <f t="shared" si="1"/>
        <v>550.57318287979433</v>
      </c>
      <c r="S57" s="5"/>
    </row>
    <row r="58" spans="1:19" x14ac:dyDescent="0.3">
      <c r="A58" s="15" t="s">
        <v>154</v>
      </c>
      <c r="B58" t="str">
        <f>VLOOKUP($A58,'Список товаров'!A:E,5,0)</f>
        <v>Металлическая модель грузовика Мерседес черно-коричневый с прицепом, иннерционная, 31см, звук и свет</v>
      </c>
      <c r="C58" s="1">
        <v>45675</v>
      </c>
      <c r="D58">
        <v>15</v>
      </c>
      <c r="E58">
        <v>15</v>
      </c>
      <c r="G58" t="b">
        <f>Таблица8[[#This Row],[Количество]]=Таблица8[[#This Row],[Принято]]+Таблица8[[#This Row],[Брак]]</f>
        <v>1</v>
      </c>
      <c r="I58" s="11">
        <f>Таблица8[[#This Row],[Количество]]*Таблица8[[#This Row],[Цена покупки CNY за единицу]]</f>
        <v>0</v>
      </c>
      <c r="J58" s="57">
        <f>SUMIFS(Курсы_валют!E:E,Курсы_валют!B:B,"CNY")+0.3</f>
        <v>11.6561</v>
      </c>
      <c r="K58" s="2">
        <v>67.652943620782921</v>
      </c>
      <c r="L58" s="57">
        <f>SUMIFS(Курсы_валют!E:E,Курсы_валют!B:B,"USD")</f>
        <v>81.225700000000003</v>
      </c>
      <c r="M58" s="3">
        <f>L58*K58+(Таблица8[[#This Row],[Цена покупки CNY]]*Таблица8[[#This Row],[Курс CNY]])</f>
        <v>5495.1577026586274</v>
      </c>
      <c r="N58" s="3">
        <f t="shared" si="3"/>
        <v>366.34384684390847</v>
      </c>
      <c r="O58" t="s">
        <v>25</v>
      </c>
      <c r="P58" s="15">
        <f>VLOOKUP($A58,'Список товаров'!A:K,11,0)*D58/1000</f>
        <v>7.5</v>
      </c>
      <c r="Q58" s="4">
        <f>IFERROR((P58/SUMIFS(P:P,O:O,O58)*SUMIFS('BUYER доставка'!L:L,'BUYER доставка'!A:A,O58))/D58,"")</f>
        <v>206.10061047432814</v>
      </c>
      <c r="R58" s="5">
        <f t="shared" si="1"/>
        <v>572.44445731823657</v>
      </c>
      <c r="S58" s="5"/>
    </row>
    <row r="59" spans="1:19" x14ac:dyDescent="0.3">
      <c r="A59" s="15" t="s">
        <v>155</v>
      </c>
      <c r="B59" t="str">
        <f>VLOOKUP($A59,'Список товаров'!A:E,5,0)</f>
        <v>Металлическая модель инерционная, тягач белый, свет и звук</v>
      </c>
      <c r="C59" s="1">
        <v>45675</v>
      </c>
      <c r="D59">
        <v>15</v>
      </c>
      <c r="E59">
        <v>15</v>
      </c>
      <c r="G59" t="b">
        <f>Таблица8[[#This Row],[Количество]]=Таблица8[[#This Row],[Принято]]+Таблица8[[#This Row],[Брак]]</f>
        <v>1</v>
      </c>
      <c r="I59" s="11">
        <f>Таблица8[[#This Row],[Количество]]*Таблица8[[#This Row],[Цена покупки CNY за единицу]]</f>
        <v>0</v>
      </c>
      <c r="J59" s="57">
        <f>SUMIFS(Курсы_валют!E:E,Курсы_валют!B:B,"CNY")+0.3</f>
        <v>11.6561</v>
      </c>
      <c r="K59" s="2">
        <v>31.302108242451801</v>
      </c>
      <c r="L59" s="57">
        <f>SUMIFS(Курсы_валют!E:E,Курсы_валют!B:B,"USD")</f>
        <v>81.225700000000003</v>
      </c>
      <c r="M59" s="3">
        <f>L59*K59+(Таблица8[[#This Row],[Цена покупки CNY]]*Таблица8[[#This Row],[Курс CNY]])</f>
        <v>2542.5356534689172</v>
      </c>
      <c r="N59" s="3">
        <f t="shared" si="3"/>
        <v>169.5023768979278</v>
      </c>
      <c r="O59" t="s">
        <v>25</v>
      </c>
      <c r="P59" s="15">
        <f>VLOOKUP($A59,'Список товаров'!A:K,11,0)*D59/1000</f>
        <v>3.75</v>
      </c>
      <c r="Q59" s="4">
        <f>IFERROR((P59/SUMIFS(P:P,O:O,O59)*SUMIFS('BUYER доставка'!L:L,'BUYER доставка'!A:A,O59))/D59,"")</f>
        <v>103.05030523716407</v>
      </c>
      <c r="R59" s="5">
        <f t="shared" si="1"/>
        <v>272.55268213509186</v>
      </c>
      <c r="S59" s="5"/>
    </row>
    <row r="60" spans="1:19" x14ac:dyDescent="0.3">
      <c r="A60" s="15" t="s">
        <v>156</v>
      </c>
      <c r="B60" t="str">
        <f>VLOOKUP($A60,'Список товаров'!A:E,5,0)</f>
        <v>Игрушка контейнер грузовой желтый</v>
      </c>
      <c r="C60" s="1">
        <v>45675</v>
      </c>
      <c r="D60">
        <v>15</v>
      </c>
      <c r="E60">
        <v>15</v>
      </c>
      <c r="G60" t="b">
        <f>Таблица8[[#This Row],[Количество]]=Таблица8[[#This Row],[Принято]]+Таблица8[[#This Row],[Брак]]</f>
        <v>1</v>
      </c>
      <c r="I60" s="11">
        <f>Таблица8[[#This Row],[Количество]]*Таблица8[[#This Row],[Цена покупки CNY за единицу]]</f>
        <v>0</v>
      </c>
      <c r="J60" s="57">
        <f>SUMIFS(Курсы_валют!E:E,Курсы_валют!B:B,"CNY")+0.3</f>
        <v>11.6561</v>
      </c>
      <c r="K60" s="2">
        <v>40.389817087034587</v>
      </c>
      <c r="L60" s="57">
        <f>SUMIFS(Курсы_валют!E:E,Курсы_валют!B:B,"USD")</f>
        <v>81.225700000000003</v>
      </c>
      <c r="M60" s="3">
        <f>L60*K60+(Таблица8[[#This Row],[Цена покупки CNY]]*Таблица8[[#This Row],[Курс CNY]])</f>
        <v>3280.6911657663454</v>
      </c>
      <c r="N60" s="3">
        <f t="shared" si="3"/>
        <v>218.71274438442302</v>
      </c>
      <c r="O60" t="s">
        <v>25</v>
      </c>
      <c r="P60" s="15">
        <f>VLOOKUP($A60,'Список товаров'!A:K,11,0)*D60/1000</f>
        <v>3.75</v>
      </c>
      <c r="Q60" s="4">
        <f>IFERROR((P60/SUMIFS(P:P,O:O,O60)*SUMIFS('BUYER доставка'!L:L,'BUYER доставка'!A:A,O60))/D60,"")</f>
        <v>103.05030523716407</v>
      </c>
      <c r="R60" s="5">
        <f t="shared" si="1"/>
        <v>321.76304962158707</v>
      </c>
      <c r="S60" s="5"/>
    </row>
    <row r="61" spans="1:19" x14ac:dyDescent="0.3">
      <c r="A61" s="15" t="s">
        <v>157</v>
      </c>
      <c r="B61" t="str">
        <f>VLOOKUP($A61,'Список товаров'!A:E,5,0)</f>
        <v>Металлическая модель инерционная, тягач синий, свет и звук</v>
      </c>
      <c r="C61" s="1">
        <v>45675</v>
      </c>
      <c r="D61">
        <v>15</v>
      </c>
      <c r="E61">
        <v>15</v>
      </c>
      <c r="G61" t="b">
        <f>Таблица8[[#This Row],[Количество]]=Таблица8[[#This Row],[Принято]]+Таблица8[[#This Row],[Брак]]</f>
        <v>1</v>
      </c>
      <c r="I61" s="11">
        <f>Таблица8[[#This Row],[Количество]]*Таблица8[[#This Row],[Цена покупки CNY за единицу]]</f>
        <v>0</v>
      </c>
      <c r="J61" s="57">
        <f>SUMIFS(Курсы_валют!E:E,Курсы_валют!B:B,"CNY")+0.3</f>
        <v>11.6561</v>
      </c>
      <c r="K61" s="2">
        <v>31.302108242451801</v>
      </c>
      <c r="L61" s="57">
        <f>SUMIFS(Курсы_валют!E:E,Курсы_валют!B:B,"USD")</f>
        <v>81.225700000000003</v>
      </c>
      <c r="M61" s="3">
        <f>L61*K61+(Таблица8[[#This Row],[Цена покупки CNY]]*Таблица8[[#This Row],[Курс CNY]])</f>
        <v>2542.5356534689172</v>
      </c>
      <c r="N61" s="3">
        <f t="shared" si="3"/>
        <v>169.5023768979278</v>
      </c>
      <c r="O61" t="s">
        <v>25</v>
      </c>
      <c r="P61" s="15">
        <f>VLOOKUP($A61,'Список товаров'!A:K,11,0)*D61/1000</f>
        <v>3.75</v>
      </c>
      <c r="Q61" s="4">
        <f>IFERROR((P61/SUMIFS(P:P,O:O,O61)*SUMIFS('BUYER доставка'!L:L,'BUYER доставка'!A:A,O61))/D61,"")</f>
        <v>103.05030523716407</v>
      </c>
      <c r="R61" s="5">
        <f t="shared" si="1"/>
        <v>272.55268213509186</v>
      </c>
      <c r="S61" s="5"/>
    </row>
    <row r="62" spans="1:19" x14ac:dyDescent="0.3">
      <c r="A62" s="15" t="s">
        <v>158</v>
      </c>
      <c r="B62" t="str">
        <f>VLOOKUP($A62,'Список товаров'!A:E,5,0)</f>
        <v>Металлическая модель инерционная, тягач черный, свет и звук</v>
      </c>
      <c r="C62" s="1">
        <v>45675</v>
      </c>
      <c r="D62">
        <v>15</v>
      </c>
      <c r="E62">
        <v>15</v>
      </c>
      <c r="G62" t="b">
        <f>Таблица8[[#This Row],[Количество]]=Таблица8[[#This Row],[Принято]]+Таблица8[[#This Row],[Брак]]</f>
        <v>1</v>
      </c>
      <c r="I62" s="11">
        <f>Таблица8[[#This Row],[Количество]]*Таблица8[[#This Row],[Цена покупки CNY за единицу]]</f>
        <v>0</v>
      </c>
      <c r="J62" s="57">
        <f>SUMIFS(Курсы_валют!E:E,Курсы_валют!B:B,"CNY")+0.3</f>
        <v>11.6561</v>
      </c>
      <c r="K62" s="2">
        <v>31.302108242451801</v>
      </c>
      <c r="L62" s="57">
        <f>SUMIFS(Курсы_валют!E:E,Курсы_валют!B:B,"USD")</f>
        <v>81.225700000000003</v>
      </c>
      <c r="M62" s="3">
        <f>L62*K62+(Таблица8[[#This Row],[Цена покупки CNY]]*Таблица8[[#This Row],[Курс CNY]])</f>
        <v>2542.5356534689172</v>
      </c>
      <c r="N62" s="3">
        <f t="shared" si="3"/>
        <v>169.5023768979278</v>
      </c>
      <c r="O62" t="s">
        <v>25</v>
      </c>
      <c r="P62" s="15">
        <f>VLOOKUP($A62,'Список товаров'!A:K,11,0)*D62/1000</f>
        <v>3.75</v>
      </c>
      <c r="Q62" s="4">
        <f>IFERROR((P62/SUMIFS(P:P,O:O,O62)*SUMIFS('BUYER доставка'!L:L,'BUYER доставка'!A:A,O62))/D62,"")</f>
        <v>103.05030523716407</v>
      </c>
      <c r="R62" s="5">
        <f t="shared" si="1"/>
        <v>272.55268213509186</v>
      </c>
      <c r="S62" s="5"/>
    </row>
    <row r="63" spans="1:19" x14ac:dyDescent="0.3">
      <c r="A63" s="15" t="s">
        <v>159</v>
      </c>
      <c r="B63" t="str">
        <f>VLOOKUP($A63,'Список товаров'!A:E,5,0)</f>
        <v>Игрушка контейнер грузовой коричневый</v>
      </c>
      <c r="C63" s="1">
        <v>45675</v>
      </c>
      <c r="D63">
        <v>15</v>
      </c>
      <c r="E63">
        <v>15</v>
      </c>
      <c r="G63" t="b">
        <f>Таблица8[[#This Row],[Количество]]=Таблица8[[#This Row],[Принято]]+Таблица8[[#This Row],[Брак]]</f>
        <v>1</v>
      </c>
      <c r="I63" s="11">
        <f>Таблица8[[#This Row],[Количество]]*Таблица8[[#This Row],[Цена покупки CNY за единицу]]</f>
        <v>0</v>
      </c>
      <c r="J63" s="57">
        <f>SUMIFS(Курсы_валют!E:E,Курсы_валют!B:B,"CNY")+0.3</f>
        <v>11.6561</v>
      </c>
      <c r="K63" s="2">
        <v>40.389817087034587</v>
      </c>
      <c r="L63" s="57">
        <f>SUMIFS(Курсы_валют!E:E,Курсы_валют!B:B,"USD")</f>
        <v>81.225700000000003</v>
      </c>
      <c r="M63" s="3">
        <f>L63*K63+(Таблица8[[#This Row],[Цена покупки CNY]]*Таблица8[[#This Row],[Курс CNY]])</f>
        <v>3280.6911657663454</v>
      </c>
      <c r="N63" s="3">
        <f t="shared" si="3"/>
        <v>218.71274438442302</v>
      </c>
      <c r="O63" t="s">
        <v>25</v>
      </c>
      <c r="P63" s="15">
        <f>VLOOKUP($A63,'Список товаров'!A:K,11,0)*D63/1000</f>
        <v>3.75</v>
      </c>
      <c r="Q63" s="4">
        <f>IFERROR((P63/SUMIFS(P:P,O:O,O63)*SUMIFS('BUYER доставка'!L:L,'BUYER доставка'!A:A,O63))/D63,"")</f>
        <v>103.05030523716407</v>
      </c>
      <c r="R63" s="5">
        <f t="shared" si="1"/>
        <v>321.76304962158707</v>
      </c>
      <c r="S63" s="5"/>
    </row>
    <row r="64" spans="1:19" x14ac:dyDescent="0.3">
      <c r="A64" s="15" t="s">
        <v>160</v>
      </c>
      <c r="B64" t="str">
        <f>VLOOKUP($A64,'Список товаров'!A:E,5,0)</f>
        <v>Игрушка контейнер грузовой серый</v>
      </c>
      <c r="C64" s="1">
        <v>45675</v>
      </c>
      <c r="D64">
        <v>15</v>
      </c>
      <c r="E64">
        <v>15</v>
      </c>
      <c r="G64" t="b">
        <f>Таблица8[[#This Row],[Количество]]=Таблица8[[#This Row],[Принято]]+Таблица8[[#This Row],[Брак]]</f>
        <v>1</v>
      </c>
      <c r="I64" s="11">
        <f>Таблица8[[#This Row],[Количество]]*Таблица8[[#This Row],[Цена покупки CNY за единицу]]</f>
        <v>0</v>
      </c>
      <c r="J64" s="57">
        <f>SUMIFS(Курсы_валют!E:E,Курсы_валют!B:B,"CNY")+0.3</f>
        <v>11.6561</v>
      </c>
      <c r="K64" s="2">
        <v>40.389817087034587</v>
      </c>
      <c r="L64" s="57">
        <f>SUMIFS(Курсы_валют!E:E,Курсы_валют!B:B,"USD")</f>
        <v>81.225700000000003</v>
      </c>
      <c r="M64" s="3">
        <f>L64*K64+(Таблица8[[#This Row],[Цена покупки CNY]]*Таблица8[[#This Row],[Курс CNY]])</f>
        <v>3280.6911657663454</v>
      </c>
      <c r="N64" s="3">
        <f t="shared" si="3"/>
        <v>218.71274438442302</v>
      </c>
      <c r="O64" t="s">
        <v>25</v>
      </c>
      <c r="P64" s="15">
        <f>VLOOKUP($A64,'Список товаров'!A:K,11,0)*D64/1000</f>
        <v>3.75</v>
      </c>
      <c r="Q64" s="4">
        <f>IFERROR((P64/SUMIFS(P:P,O:O,O64)*SUMIFS('BUYER доставка'!L:L,'BUYER доставка'!A:A,O64))/D64,"")</f>
        <v>103.05030523716407</v>
      </c>
      <c r="R64" s="5">
        <f t="shared" si="1"/>
        <v>321.76304962158707</v>
      </c>
      <c r="S64" s="5"/>
    </row>
    <row r="65" spans="1:18" x14ac:dyDescent="0.3">
      <c r="A65" s="15" t="s">
        <v>161</v>
      </c>
      <c r="B65" t="str">
        <f>VLOOKUP($A65,'Список товаров'!A:E,5,0)</f>
        <v>Камера мгновенной печати Print Розовая Camera</v>
      </c>
      <c r="C65" s="1">
        <v>45675</v>
      </c>
      <c r="D65">
        <v>20</v>
      </c>
      <c r="E65">
        <v>20</v>
      </c>
      <c r="G65" t="b">
        <f>Таблица8[[#This Row],[Количество]]=Таблица8[[#This Row],[Принято]]+Таблица8[[#This Row],[Брак]]</f>
        <v>1</v>
      </c>
      <c r="I65" s="11">
        <f>Таблица8[[#This Row],[Количество]]*Таблица8[[#This Row],[Цена покупки CNY за единицу]]</f>
        <v>0</v>
      </c>
      <c r="J65" s="57">
        <f>SUMIFS(Курсы_валют!E:E,Курсы_валют!B:B,"CNY")+0.3</f>
        <v>11.6561</v>
      </c>
      <c r="K65" s="2">
        <v>292.77</v>
      </c>
      <c r="L65" s="57">
        <f>SUMIFS(Курсы_валют!E:E,Курсы_валют!B:B,"USD")</f>
        <v>81.225700000000003</v>
      </c>
      <c r="M65" s="3">
        <f>L65*K65+(Таблица8[[#This Row],[Цена покупки CNY]]*Таблица8[[#This Row],[Курс CNY]])</f>
        <v>23780.448188999999</v>
      </c>
      <c r="N65" s="3">
        <f t="shared" si="3"/>
        <v>1189.0224094499999</v>
      </c>
      <c r="O65" t="s">
        <v>24</v>
      </c>
      <c r="P65" s="15">
        <f>VLOOKUP($A65,'Список товаров'!A:K,11,0)*D65/1000</f>
        <v>5</v>
      </c>
      <c r="Q65" s="4">
        <f>IFERROR((P65/SUMIFS(P:P,O:O,O65)*SUMIFS('BUYER доставка'!L:L,'BUYER доставка'!A:A,O65))/D65,"")</f>
        <v>284.38687026446382</v>
      </c>
      <c r="R65" s="5">
        <f t="shared" si="1"/>
        <v>1473.4092797144638</v>
      </c>
    </row>
    <row r="66" spans="1:18" x14ac:dyDescent="0.3">
      <c r="A66" s="15" t="s">
        <v>162</v>
      </c>
      <c r="B66" t="str">
        <f>VLOOKUP($A66,'Список товаров'!A:E,5,0)</f>
        <v>Камера мгновенной печати Print Голубая Camera</v>
      </c>
      <c r="C66" s="1">
        <v>45675</v>
      </c>
      <c r="D66">
        <v>20</v>
      </c>
      <c r="E66">
        <v>20</v>
      </c>
      <c r="G66" t="b">
        <f>Таблица8[[#This Row],[Количество]]=Таблица8[[#This Row],[Принято]]+Таблица8[[#This Row],[Брак]]</f>
        <v>1</v>
      </c>
      <c r="I66" s="11">
        <f>Таблица8[[#This Row],[Количество]]*Таблица8[[#This Row],[Цена покупки CNY за единицу]]</f>
        <v>0</v>
      </c>
      <c r="J66" s="57">
        <f>SUMIFS(Курсы_валют!E:E,Курсы_валют!B:B,"CNY")+0.3</f>
        <v>11.6561</v>
      </c>
      <c r="K66" s="2">
        <v>292.77</v>
      </c>
      <c r="L66" s="57">
        <f>SUMIFS(Курсы_валют!E:E,Курсы_валют!B:B,"USD")</f>
        <v>81.225700000000003</v>
      </c>
      <c r="M66" s="3">
        <f>L66*K66+(Таблица8[[#This Row],[Цена покупки CNY]]*Таблица8[[#This Row],[Курс CNY]])</f>
        <v>23780.448188999999</v>
      </c>
      <c r="N66" s="3">
        <f t="shared" si="3"/>
        <v>1189.0224094499999</v>
      </c>
      <c r="O66" t="s">
        <v>24</v>
      </c>
      <c r="P66" s="15">
        <f>VLOOKUP($A66,'Список товаров'!A:K,11,0)*D66/1000</f>
        <v>5</v>
      </c>
      <c r="Q66" s="4">
        <f>IFERROR((P66/SUMIFS(P:P,O:O,O66)*SUMIFS('BUYER доставка'!L:L,'BUYER доставка'!A:A,O66))/D66,"")</f>
        <v>284.38687026446382</v>
      </c>
      <c r="R66" s="5">
        <f t="shared" si="1"/>
        <v>1473.4092797144638</v>
      </c>
    </row>
    <row r="67" spans="1:18" x14ac:dyDescent="0.3">
      <c r="A67" s="15" t="s">
        <v>163</v>
      </c>
      <c r="B67" t="str">
        <f>VLOOKUP($A67,'Список товаров'!A:E,5,0)</f>
        <v>Камера мгновенной печати Print Фиолетовая Camera</v>
      </c>
      <c r="C67" s="1">
        <v>45675</v>
      </c>
      <c r="D67">
        <v>20</v>
      </c>
      <c r="E67">
        <v>20</v>
      </c>
      <c r="G67" t="b">
        <f>Таблица8[[#This Row],[Количество]]=Таблица8[[#This Row],[Принято]]+Таблица8[[#This Row],[Брак]]</f>
        <v>1</v>
      </c>
      <c r="I67" s="11">
        <f>Таблица8[[#This Row],[Количество]]*Таблица8[[#This Row],[Цена покупки CNY за единицу]]</f>
        <v>0</v>
      </c>
      <c r="J67" s="57">
        <f>SUMIFS(Курсы_валют!E:E,Курсы_валют!B:B,"CNY")+0.3</f>
        <v>11.6561</v>
      </c>
      <c r="K67" s="2">
        <v>292.77</v>
      </c>
      <c r="L67" s="57">
        <f>SUMIFS(Курсы_валют!E:E,Курсы_валют!B:B,"USD")</f>
        <v>81.225700000000003</v>
      </c>
      <c r="M67" s="3">
        <f>L67*K67+(Таблица8[[#This Row],[Цена покупки CNY]]*Таблица8[[#This Row],[Курс CNY]])</f>
        <v>23780.448188999999</v>
      </c>
      <c r="N67" s="3">
        <f t="shared" si="3"/>
        <v>1189.0224094499999</v>
      </c>
      <c r="O67" t="s">
        <v>24</v>
      </c>
      <c r="P67" s="15">
        <f>VLOOKUP($A67,'Список товаров'!A:K,11,0)*D67/1000</f>
        <v>5</v>
      </c>
      <c r="Q67" s="4">
        <f>IFERROR((P67/SUMIFS(P:P,O:O,O67)*SUMIFS('BUYER доставка'!L:L,'BUYER доставка'!A:A,O67))/D67,"")</f>
        <v>284.38687026446382</v>
      </c>
      <c r="R67" s="5">
        <f t="shared" ref="R67:R130" si="5">IFERROR(N67+Q67,0)</f>
        <v>1473.4092797144638</v>
      </c>
    </row>
    <row r="68" spans="1:18" x14ac:dyDescent="0.3">
      <c r="A68" t="s">
        <v>594</v>
      </c>
      <c r="B68" t="str">
        <f>VLOOKUP($A68,'Список товаров'!A:E,5,0)</f>
        <v>Строительная техника 6 ед.: Экскаватор + 3 насадки, Гусеничный Экскаватор, Гусеничный Кран, Самосвал, Бетономешалка, Бензовоз</v>
      </c>
      <c r="C68" s="1">
        <v>45675</v>
      </c>
      <c r="D68">
        <v>15</v>
      </c>
      <c r="E68">
        <v>15</v>
      </c>
      <c r="G68" t="b">
        <f>Таблица8[[#This Row],[Количество]]=Таблица8[[#This Row],[Принято]]+Таблица8[[#This Row],[Брак]]</f>
        <v>1</v>
      </c>
      <c r="I68" s="11">
        <f>Таблица8[[#This Row],[Количество]]*Таблица8[[#This Row],[Цена покупки CNY за единицу]]</f>
        <v>0</v>
      </c>
      <c r="J68" s="57">
        <f>SUMIFS(Курсы_валют!E:E,Курсы_валют!B:B,"CNY")+0.3</f>
        <v>11.6561</v>
      </c>
      <c r="K68" s="2">
        <v>167.14285714285714</v>
      </c>
      <c r="L68" s="57">
        <f>SUMIFS(Курсы_валют!E:E,Курсы_валют!B:B,"USD")</f>
        <v>81.225700000000003</v>
      </c>
      <c r="M68" s="3">
        <f>L68*K68+(Таблица8[[#This Row],[Цена покупки CNY]]*Таблица8[[#This Row],[Курс CNY]])</f>
        <v>13576.295571428571</v>
      </c>
      <c r="N68" s="3">
        <f t="shared" si="3"/>
        <v>905.0863714285714</v>
      </c>
      <c r="O68" t="s">
        <v>26</v>
      </c>
      <c r="P68" s="15">
        <f>VLOOKUP($A68,'Список товаров'!A:K,11,0)*D68/1000</f>
        <v>26.25</v>
      </c>
      <c r="Q68" s="4">
        <f>IFERROR((P68/SUMIFS(P:P,O:O,O68)*SUMIFS('BUYER доставка'!L:L,'BUYER доставка'!A:A,O68))/D68,"")</f>
        <v>733.60851715493345</v>
      </c>
      <c r="R68" s="5">
        <f t="shared" si="5"/>
        <v>1638.694888583505</v>
      </c>
    </row>
    <row r="69" spans="1:18" x14ac:dyDescent="0.3">
      <c r="A69" t="s">
        <v>597</v>
      </c>
      <c r="B69" t="str">
        <f>VLOOKUP($A69,'Список товаров'!A:E,5,0)</f>
        <v>Строительная техника 4 ед.: Экскаватор, Гусеничный Экскаватор, Кран, Самосвал</v>
      </c>
      <c r="C69" s="1">
        <v>45675</v>
      </c>
      <c r="D69">
        <v>15</v>
      </c>
      <c r="E69">
        <v>15</v>
      </c>
      <c r="G69" t="b">
        <f>Таблица8[[#This Row],[Количество]]=Таблица8[[#This Row],[Принято]]+Таблица8[[#This Row],[Брак]]</f>
        <v>1</v>
      </c>
      <c r="I69" s="11">
        <f>Таблица8[[#This Row],[Количество]]*Таблица8[[#This Row],[Цена покупки CNY за единицу]]</f>
        <v>0</v>
      </c>
      <c r="J69" s="57">
        <f>SUMIFS(Курсы_валют!E:E,Курсы_валют!B:B,"CNY")+0.3</f>
        <v>11.6561</v>
      </c>
      <c r="K69" s="2">
        <v>109.28571428571429</v>
      </c>
      <c r="L69" s="57">
        <f>SUMIFS(Курсы_валют!E:E,Курсы_валют!B:B,"USD")</f>
        <v>81.225700000000003</v>
      </c>
      <c r="M69" s="3">
        <f>L69*K69+(Таблица8[[#This Row],[Цена покупки CNY]]*Таблица8[[#This Row],[Курс CNY]])</f>
        <v>8876.8086428571442</v>
      </c>
      <c r="N69" s="3">
        <f t="shared" si="3"/>
        <v>591.78724285714293</v>
      </c>
      <c r="O69" t="s">
        <v>26</v>
      </c>
      <c r="P69" s="15">
        <f>VLOOKUP($A69,'Список товаров'!A:K,11,0)*D69/1000</f>
        <v>18</v>
      </c>
      <c r="Q69" s="4">
        <f>IFERROR((P69/SUMIFS(P:P,O:O,O69)*SUMIFS('BUYER доставка'!L:L,'BUYER доставка'!A:A,O69))/D69,"")</f>
        <v>503.04584033481166</v>
      </c>
      <c r="R69" s="5">
        <f t="shared" si="5"/>
        <v>1094.8330831919545</v>
      </c>
    </row>
    <row r="70" spans="1:18" x14ac:dyDescent="0.3">
      <c r="A70" t="s">
        <v>599</v>
      </c>
      <c r="B70" t="str">
        <f>VLOOKUP($A70,'Список товаров'!A:E,5,0)</f>
        <v>Строительная техника 6 ед.: Экскаватор, Гусеничный Экскаватор, Кран, Самосвал, Бетономешалка, Дорожный каток</v>
      </c>
      <c r="C70" s="1">
        <v>45675</v>
      </c>
      <c r="D70">
        <v>15</v>
      </c>
      <c r="E70">
        <v>15</v>
      </c>
      <c r="G70" t="b">
        <f>Таблица8[[#This Row],[Количество]]=Таблица8[[#This Row],[Принято]]+Таблица8[[#This Row],[Брак]]</f>
        <v>1</v>
      </c>
      <c r="I70" s="11">
        <f>Таблица8[[#This Row],[Количество]]*Таблица8[[#This Row],[Цена покупки CNY за единицу]]</f>
        <v>0</v>
      </c>
      <c r="J70" s="57">
        <f>SUMIFS(Курсы_валют!E:E,Курсы_валют!B:B,"CNY")+0.3</f>
        <v>11.6561</v>
      </c>
      <c r="K70" s="2">
        <v>135</v>
      </c>
      <c r="L70" s="57">
        <f>SUMIFS(Курсы_валют!E:E,Курсы_валют!B:B,"USD")</f>
        <v>81.225700000000003</v>
      </c>
      <c r="M70" s="3">
        <f>L70*K70+(Таблица8[[#This Row],[Цена покупки CNY]]*Таблица8[[#This Row],[Курс CNY]])</f>
        <v>10965.469500000001</v>
      </c>
      <c r="N70" s="3">
        <f t="shared" si="3"/>
        <v>731.0313000000001</v>
      </c>
      <c r="O70" t="s">
        <v>111</v>
      </c>
      <c r="P70" s="15">
        <f>VLOOKUP($A70,'Список товаров'!A:K,11,0)*D70/1000</f>
        <v>22.5</v>
      </c>
      <c r="Q70" s="4">
        <f>IFERROR((P70/SUMIFS(P:P,O:O,O70)*SUMIFS('BUYER доставка'!L:L,'BUYER доставка'!A:A,O70))/D70,"")</f>
        <v>540.20519648409561</v>
      </c>
      <c r="R70" s="5">
        <f t="shared" si="5"/>
        <v>1271.2364964840958</v>
      </c>
    </row>
    <row r="71" spans="1:18" x14ac:dyDescent="0.3">
      <c r="A71" s="15" t="s">
        <v>134</v>
      </c>
      <c r="B71" t="str">
        <f>VLOOKUP($A71,'Список товаров'!A:E,5,0)</f>
        <v>Металлическая модель грузовика Мерседес серо-голубой с прицепом, иннерционная, 31см, звук и свет</v>
      </c>
      <c r="C71" s="1">
        <v>45748</v>
      </c>
      <c r="D71">
        <v>10</v>
      </c>
      <c r="E71">
        <v>10</v>
      </c>
      <c r="G71" t="b">
        <f>Таблица8[[#This Row],[Количество]]=Таблица8[[#This Row],[Принято]]+Таблица8[[#This Row],[Брак]]</f>
        <v>1</v>
      </c>
      <c r="H71" s="11">
        <v>33.5</v>
      </c>
      <c r="I71" s="11">
        <f>Таблица8[[#This Row],[Количество]]*Таблица8[[#This Row],[Цена покупки CNY за единицу]]</f>
        <v>335</v>
      </c>
      <c r="J71" s="57">
        <f>SUMIFS(Курсы_валют!E:E,Курсы_валют!B:B,"CNY")+0.3</f>
        <v>11.6561</v>
      </c>
      <c r="K71" s="6"/>
      <c r="L71" s="57">
        <f>SUMIFS(Курсы_валют!E:E,Курсы_валют!B:B,"USD")</f>
        <v>81.225700000000003</v>
      </c>
      <c r="M71" s="3">
        <f>L71*K71+(Таблица8[[#This Row],[Цена покупки CNY]]*Таблица8[[#This Row],[Курс CNY]])</f>
        <v>3904.7935000000002</v>
      </c>
      <c r="N71" s="3">
        <f t="shared" ref="N71:N102" si="6">J71*H71</f>
        <v>390.47935000000001</v>
      </c>
      <c r="O71" s="10" t="s">
        <v>126</v>
      </c>
      <c r="P71" s="15">
        <f>VLOOKUP($A71,'Список товаров'!A:K,11,0)*D71/1000</f>
        <v>5</v>
      </c>
      <c r="Q71" s="4">
        <f>IFERROR((P71/SUMIFS(P:P,O:O,O71)*SUMIFS('BUYER доставка'!L:L,'BUYER доставка'!A:A,O71))/D71,"")</f>
        <v>176.8480538922156</v>
      </c>
      <c r="R71" s="5">
        <f t="shared" si="5"/>
        <v>567.32740389221567</v>
      </c>
    </row>
    <row r="72" spans="1:18" x14ac:dyDescent="0.3">
      <c r="A72" s="15" t="s">
        <v>151</v>
      </c>
      <c r="B72" t="str">
        <f>VLOOKUP($A72,'Список товаров'!A:E,5,0)</f>
        <v>Металлическая модель грузовика Мерседес бело-синий с прицепом, иннерционная, 31см, звук и свет</v>
      </c>
      <c r="C72" s="1">
        <v>45748</v>
      </c>
      <c r="D72">
        <v>4</v>
      </c>
      <c r="E72">
        <v>4</v>
      </c>
      <c r="G72" t="b">
        <f>Таблица8[[#This Row],[Количество]]=Таблица8[[#This Row],[Принято]]+Таблица8[[#This Row],[Брак]]</f>
        <v>1</v>
      </c>
      <c r="H72" s="11">
        <v>33.5</v>
      </c>
      <c r="I72" s="11">
        <f>Таблица8[[#This Row],[Количество]]*Таблица8[[#This Row],[Цена покупки CNY за единицу]]</f>
        <v>134</v>
      </c>
      <c r="J72" s="57">
        <f>SUMIFS(Курсы_валют!E:E,Курсы_валют!B:B,"CNY")+0.3</f>
        <v>11.6561</v>
      </c>
      <c r="L72" s="57">
        <f>SUMIFS(Курсы_валют!E:E,Курсы_валют!B:B,"USD")</f>
        <v>81.225700000000003</v>
      </c>
      <c r="M72" s="3">
        <f>L72*K72+(Таблица8[[#This Row],[Цена покупки CNY]]*Таблица8[[#This Row],[Курс CNY]])</f>
        <v>1561.9174</v>
      </c>
      <c r="N72" s="3">
        <f t="shared" si="6"/>
        <v>390.47935000000001</v>
      </c>
      <c r="O72" s="10" t="s">
        <v>126</v>
      </c>
      <c r="P72" s="15">
        <f>VLOOKUP($A72,'Список товаров'!A:K,11,0)*D72/1000</f>
        <v>2</v>
      </c>
      <c r="Q72" s="4">
        <f>IFERROR((P72/SUMIFS(P:P,O:O,O72)*SUMIFS('BUYER доставка'!L:L,'BUYER доставка'!A:A,O72))/D72,"")</f>
        <v>176.8480538922156</v>
      </c>
      <c r="R72" s="5">
        <f t="shared" si="5"/>
        <v>567.32740389221567</v>
      </c>
    </row>
    <row r="73" spans="1:18" x14ac:dyDescent="0.3">
      <c r="A73" s="15" t="s">
        <v>153</v>
      </c>
      <c r="B73" t="str">
        <f>VLOOKUP($A73,'Список товаров'!A:E,5,0)</f>
        <v>Металлическая модель грузовика Мерседес бело-желтый с прицепом, иннерционная, 31см, звук и свет</v>
      </c>
      <c r="C73" s="1">
        <v>45748</v>
      </c>
      <c r="D73">
        <v>4</v>
      </c>
      <c r="E73">
        <v>4</v>
      </c>
      <c r="G73" t="b">
        <f>Таблица8[[#This Row],[Количество]]=Таблица8[[#This Row],[Принято]]+Таблица8[[#This Row],[Брак]]</f>
        <v>1</v>
      </c>
      <c r="H73" s="11">
        <v>33.5</v>
      </c>
      <c r="I73" s="11">
        <f>Таблица8[[#This Row],[Количество]]*Таблица8[[#This Row],[Цена покупки CNY за единицу]]</f>
        <v>134</v>
      </c>
      <c r="J73" s="57">
        <f>SUMIFS(Курсы_валют!E:E,Курсы_валют!B:B,"CNY")+0.3</f>
        <v>11.6561</v>
      </c>
      <c r="L73" s="57">
        <f>SUMIFS(Курсы_валют!E:E,Курсы_валют!B:B,"USD")</f>
        <v>81.225700000000003</v>
      </c>
      <c r="M73" s="3">
        <f>L73*K73+(Таблица8[[#This Row],[Цена покупки CNY]]*Таблица8[[#This Row],[Курс CNY]])</f>
        <v>1561.9174</v>
      </c>
      <c r="N73" s="3">
        <f t="shared" si="6"/>
        <v>390.47935000000001</v>
      </c>
      <c r="O73" s="10" t="s">
        <v>126</v>
      </c>
      <c r="P73" s="15">
        <f>VLOOKUP($A73,'Список товаров'!A:K,11,0)*D73/1000</f>
        <v>2</v>
      </c>
      <c r="Q73" s="4">
        <f>IFERROR((P73/SUMIFS(P:P,O:O,O73)*SUMIFS('BUYER доставка'!L:L,'BUYER доставка'!A:A,O73))/D73,"")</f>
        <v>176.8480538922156</v>
      </c>
      <c r="R73" s="5">
        <f t="shared" si="5"/>
        <v>567.32740389221567</v>
      </c>
    </row>
    <row r="74" spans="1:18" x14ac:dyDescent="0.3">
      <c r="A74" s="15" t="s">
        <v>148</v>
      </c>
      <c r="B74" t="str">
        <f>VLOOKUP($A74,'Список товаров'!A:E,5,0)</f>
        <v>Металлическая модель грузовика Мерседес черно-серый с прицепом, иннерционная, 31см, звук и свет</v>
      </c>
      <c r="C74" s="1">
        <v>45748</v>
      </c>
      <c r="D74">
        <v>4</v>
      </c>
      <c r="E74">
        <v>4</v>
      </c>
      <c r="G74" t="b">
        <f>Таблица8[[#This Row],[Количество]]=Таблица8[[#This Row],[Принято]]+Таблица8[[#This Row],[Брак]]</f>
        <v>1</v>
      </c>
      <c r="H74" s="11">
        <v>33.5</v>
      </c>
      <c r="I74" s="11">
        <f>Таблица8[[#This Row],[Количество]]*Таблица8[[#This Row],[Цена покупки CNY за единицу]]</f>
        <v>134</v>
      </c>
      <c r="J74" s="57">
        <f>SUMIFS(Курсы_валют!E:E,Курсы_валют!B:B,"CNY")+0.3</f>
        <v>11.6561</v>
      </c>
      <c r="L74" s="57">
        <f>SUMIFS(Курсы_валют!E:E,Курсы_валют!B:B,"USD")</f>
        <v>81.225700000000003</v>
      </c>
      <c r="M74" s="3">
        <f>L74*K74+(Таблица8[[#This Row],[Цена покупки CNY]]*Таблица8[[#This Row],[Курс CNY]])</f>
        <v>1561.9174</v>
      </c>
      <c r="N74" s="3">
        <f t="shared" si="6"/>
        <v>390.47935000000001</v>
      </c>
      <c r="O74" s="10" t="s">
        <v>126</v>
      </c>
      <c r="P74" s="15">
        <f>VLOOKUP($A74,'Список товаров'!A:K,11,0)*D74/1000</f>
        <v>2</v>
      </c>
      <c r="Q74" s="4">
        <f>IFERROR((P74/SUMIFS(P:P,O:O,O74)*SUMIFS('BUYER доставка'!L:L,'BUYER доставка'!A:A,O74))/D74,"")</f>
        <v>176.8480538922156</v>
      </c>
      <c r="R74" s="5">
        <f t="shared" si="5"/>
        <v>567.32740389221567</v>
      </c>
    </row>
    <row r="75" spans="1:18" x14ac:dyDescent="0.3">
      <c r="A75" s="15" t="s">
        <v>140</v>
      </c>
      <c r="B75" t="str">
        <f>VLOOKUP($A75,'Список товаров'!A:E,5,0)</f>
        <v>Металлическая модель грузовика Мерседес бело-коричневый с прицепом, иннерционная, 31см, звук и свет</v>
      </c>
      <c r="C75" s="1">
        <v>45748</v>
      </c>
      <c r="D75">
        <v>10</v>
      </c>
      <c r="E75">
        <v>10</v>
      </c>
      <c r="G75" t="b">
        <f>Таблица8[[#This Row],[Количество]]=Таблица8[[#This Row],[Принято]]+Таблица8[[#This Row],[Брак]]</f>
        <v>1</v>
      </c>
      <c r="H75" s="11">
        <v>33.5</v>
      </c>
      <c r="I75" s="11">
        <f>Таблица8[[#This Row],[Количество]]*Таблица8[[#This Row],[Цена покупки CNY за единицу]]</f>
        <v>335</v>
      </c>
      <c r="J75" s="57">
        <f>SUMIFS(Курсы_валют!E:E,Курсы_валют!B:B,"CNY")+0.3</f>
        <v>11.6561</v>
      </c>
      <c r="L75" s="57">
        <f>SUMIFS(Курсы_валют!E:E,Курсы_валют!B:B,"USD")</f>
        <v>81.225700000000003</v>
      </c>
      <c r="M75" s="3">
        <f>L75*K75+(Таблица8[[#This Row],[Цена покупки CNY]]*Таблица8[[#This Row],[Курс CNY]])</f>
        <v>3904.7935000000002</v>
      </c>
      <c r="N75" s="3">
        <f t="shared" si="6"/>
        <v>390.47935000000001</v>
      </c>
      <c r="O75" s="10" t="s">
        <v>126</v>
      </c>
      <c r="P75" s="15">
        <f>VLOOKUP($A75,'Список товаров'!A:K,11,0)*D75/1000</f>
        <v>5</v>
      </c>
      <c r="Q75" s="4">
        <f>IFERROR((P75/SUMIFS(P:P,O:O,O75)*SUMIFS('BUYER доставка'!L:L,'BUYER доставка'!A:A,O75))/D75,"")</f>
        <v>176.8480538922156</v>
      </c>
      <c r="R75" s="5">
        <f t="shared" si="5"/>
        <v>567.32740389221567</v>
      </c>
    </row>
    <row r="76" spans="1:18" x14ac:dyDescent="0.3">
      <c r="A76" s="15" t="s">
        <v>146</v>
      </c>
      <c r="B76" t="str">
        <f>VLOOKUP($A76,'Список товаров'!A:E,5,0)</f>
        <v>Металлическая модель грузовика Мерседес бело-серый с прицепом, иннерционная, 31см, звук и свет</v>
      </c>
      <c r="C76" s="1">
        <v>45748</v>
      </c>
      <c r="D76">
        <v>1</v>
      </c>
      <c r="E76">
        <v>4</v>
      </c>
      <c r="G76" t="b">
        <f>Таблица8[[#This Row],[Количество]]=Таблица8[[#This Row],[Принято]]+Таблица8[[#This Row],[Брак]]</f>
        <v>0</v>
      </c>
      <c r="H76" s="11">
        <v>33.5</v>
      </c>
      <c r="I76" s="11">
        <f>Таблица8[[#This Row],[Количество]]*Таблица8[[#This Row],[Цена покупки CNY за единицу]]</f>
        <v>33.5</v>
      </c>
      <c r="J76" s="57">
        <f>SUMIFS(Курсы_валют!E:E,Курсы_валют!B:B,"CNY")+0.3</f>
        <v>11.6561</v>
      </c>
      <c r="L76" s="57">
        <f>SUMIFS(Курсы_валют!E:E,Курсы_валют!B:B,"USD")</f>
        <v>81.225700000000003</v>
      </c>
      <c r="M76" s="3">
        <f>L76*K76+(Таблица8[[#This Row],[Цена покупки CNY]]*Таблица8[[#This Row],[Курс CNY]])</f>
        <v>390.47935000000001</v>
      </c>
      <c r="N76" s="3">
        <f t="shared" si="6"/>
        <v>390.47935000000001</v>
      </c>
      <c r="O76" s="10" t="s">
        <v>126</v>
      </c>
      <c r="P76" s="15">
        <f>VLOOKUP($A76,'Список товаров'!A:K,11,0)*D76/1000</f>
        <v>0.5</v>
      </c>
      <c r="Q76" s="4">
        <f>IFERROR((P76/SUMIFS(P:P,O:O,O76)*SUMIFS('BUYER доставка'!L:L,'BUYER доставка'!A:A,O76))/D76,"")</f>
        <v>176.8480538922156</v>
      </c>
      <c r="R76" s="5">
        <f t="shared" si="5"/>
        <v>567.32740389221567</v>
      </c>
    </row>
    <row r="77" spans="1:18" x14ac:dyDescent="0.3">
      <c r="A77" s="15" t="s">
        <v>137</v>
      </c>
      <c r="B77" t="str">
        <f>VLOOKUP($A77,'Список товаров'!A:E,5,0)</f>
        <v>Металлическая модель автобуса, свет, звук, инерционный синий</v>
      </c>
      <c r="C77" s="1">
        <v>45748</v>
      </c>
      <c r="D77">
        <v>75</v>
      </c>
      <c r="E77">
        <v>75</v>
      </c>
      <c r="G77" t="b">
        <f>Таблица8[[#This Row],[Количество]]=Таблица8[[#This Row],[Принято]]+Таблица8[[#This Row],[Брак]]</f>
        <v>1</v>
      </c>
      <c r="H77" s="11">
        <v>47.5</v>
      </c>
      <c r="I77" s="11">
        <f>Таблица8[[#This Row],[Количество]]*Таблица8[[#This Row],[Цена покупки CNY за единицу]]</f>
        <v>3562.5</v>
      </c>
      <c r="J77" s="57">
        <f>SUMIFS(Курсы_валют!E:E,Курсы_валют!B:B,"CNY")+0.3</f>
        <v>11.6561</v>
      </c>
      <c r="L77" s="57">
        <f>SUMIFS(Курсы_валют!E:E,Курсы_валют!B:B,"USD")</f>
        <v>81.225700000000003</v>
      </c>
      <c r="M77" s="3">
        <f>L77*K77+(Таблица8[[#This Row],[Цена покупки CNY]]*Таблица8[[#This Row],[Курс CNY]])</f>
        <v>41524.856250000004</v>
      </c>
      <c r="N77" s="14">
        <f t="shared" si="6"/>
        <v>553.66475000000003</v>
      </c>
      <c r="O77" s="10" t="s">
        <v>126</v>
      </c>
      <c r="P77" s="15">
        <f>VLOOKUP($A77,'Список товаров'!A:K,11,0)*D77/1000</f>
        <v>30</v>
      </c>
      <c r="Q77" s="4">
        <f>IFERROR((P77/SUMIFS(P:P,O:O,O77)*SUMIFS('BUYER доставка'!L:L,'BUYER доставка'!A:A,O77))/D77,"")</f>
        <v>141.47844311377247</v>
      </c>
      <c r="R77" s="5">
        <f t="shared" si="5"/>
        <v>695.14319311377244</v>
      </c>
    </row>
    <row r="78" spans="1:18" x14ac:dyDescent="0.3">
      <c r="A78" s="15" t="s">
        <v>136</v>
      </c>
      <c r="B78" t="str">
        <f>VLOOKUP($A78,'Список товаров'!A:E,5,0)</f>
        <v>Металлическая модель автобуса, свет, звук, инерционный красный</v>
      </c>
      <c r="C78" s="1">
        <v>45748</v>
      </c>
      <c r="D78">
        <v>75</v>
      </c>
      <c r="E78">
        <v>75</v>
      </c>
      <c r="G78" t="b">
        <f>Таблица8[[#This Row],[Количество]]=Таблица8[[#This Row],[Принято]]+Таблица8[[#This Row],[Брак]]</f>
        <v>1</v>
      </c>
      <c r="H78" s="11">
        <v>47.5</v>
      </c>
      <c r="I78" s="11">
        <f>Таблица8[[#This Row],[Количество]]*Таблица8[[#This Row],[Цена покупки CNY за единицу]]</f>
        <v>3562.5</v>
      </c>
      <c r="J78" s="57">
        <f>SUMIFS(Курсы_валют!E:E,Курсы_валют!B:B,"CNY")+0.3</f>
        <v>11.6561</v>
      </c>
      <c r="L78" s="57">
        <f>SUMIFS(Курсы_валют!E:E,Курсы_валют!B:B,"USD")</f>
        <v>81.225700000000003</v>
      </c>
      <c r="M78" s="3">
        <f>L78*K78+(Таблица8[[#This Row],[Цена покупки CNY]]*Таблица8[[#This Row],[Курс CNY]])</f>
        <v>41524.856250000004</v>
      </c>
      <c r="N78" s="3">
        <f t="shared" si="6"/>
        <v>553.66475000000003</v>
      </c>
      <c r="O78" s="10" t="s">
        <v>126</v>
      </c>
      <c r="P78" s="15">
        <f>VLOOKUP($A78,'Список товаров'!A:K,11,0)*D78/1000</f>
        <v>30</v>
      </c>
      <c r="Q78" s="4">
        <f>IFERROR((P78/SUMIFS(P:P,O:O,O78)*SUMIFS('BUYER доставка'!L:L,'BUYER доставка'!A:A,O78))/D78,"")</f>
        <v>141.47844311377247</v>
      </c>
      <c r="R78" s="5">
        <f t="shared" si="5"/>
        <v>695.14319311377244</v>
      </c>
    </row>
    <row r="79" spans="1:18" x14ac:dyDescent="0.3">
      <c r="A79" s="15" t="s">
        <v>135</v>
      </c>
      <c r="B79" t="str">
        <f>VLOOKUP($A79,'Список товаров'!A:E,5,0)</f>
        <v>Металлическая модель автобуса, свет, звук, инерционный бежевый</v>
      </c>
      <c r="C79" s="1">
        <v>45748</v>
      </c>
      <c r="D79">
        <v>75</v>
      </c>
      <c r="E79">
        <v>75</v>
      </c>
      <c r="G79" t="b">
        <f>Таблица8[[#This Row],[Количество]]=Таблица8[[#This Row],[Принято]]+Таблица8[[#This Row],[Брак]]</f>
        <v>1</v>
      </c>
      <c r="H79" s="11">
        <v>47.5</v>
      </c>
      <c r="I79" s="11">
        <f>Таблица8[[#This Row],[Количество]]*Таблица8[[#This Row],[Цена покупки CNY за единицу]]</f>
        <v>3562.5</v>
      </c>
      <c r="J79" s="57">
        <f>SUMIFS(Курсы_валют!E:E,Курсы_валют!B:B,"CNY")+0.3</f>
        <v>11.6561</v>
      </c>
      <c r="L79" s="57">
        <f>SUMIFS(Курсы_валют!E:E,Курсы_валют!B:B,"USD")</f>
        <v>81.225700000000003</v>
      </c>
      <c r="M79" s="3">
        <f>L79*K79+(Таблица8[[#This Row],[Цена покупки CNY]]*Таблица8[[#This Row],[Курс CNY]])</f>
        <v>41524.856250000004</v>
      </c>
      <c r="N79" s="3">
        <f t="shared" si="6"/>
        <v>553.66475000000003</v>
      </c>
      <c r="O79" s="10" t="s">
        <v>126</v>
      </c>
      <c r="P79" s="15">
        <f>VLOOKUP($A79,'Список товаров'!A:K,11,0)*D79/1000</f>
        <v>30</v>
      </c>
      <c r="Q79" s="4">
        <f>IFERROR((P79/SUMIFS(P:P,O:O,O79)*SUMIFS('BUYER доставка'!L:L,'BUYER доставка'!A:A,O79))/D79,"")</f>
        <v>141.47844311377247</v>
      </c>
      <c r="R79" s="5">
        <f t="shared" si="5"/>
        <v>695.14319311377244</v>
      </c>
    </row>
    <row r="80" spans="1:18" x14ac:dyDescent="0.3">
      <c r="A80" s="15" t="s">
        <v>142</v>
      </c>
      <c r="B80" t="str">
        <f>VLOOKUP($A80,'Список товаров'!A:E,5,0)</f>
        <v>Металлическая модель автобуса, свет, звук, инерционный белый Аэропорт экспресс2</v>
      </c>
      <c r="C80" s="1">
        <v>45748</v>
      </c>
      <c r="D80">
        <v>75</v>
      </c>
      <c r="E80">
        <v>75</v>
      </c>
      <c r="G80" t="b">
        <f>Таблица8[[#This Row],[Количество]]=Таблица8[[#This Row],[Принято]]+Таблица8[[#This Row],[Брак]]</f>
        <v>1</v>
      </c>
      <c r="H80" s="11">
        <v>47.5</v>
      </c>
      <c r="I80" s="11">
        <f>Таблица8[[#This Row],[Количество]]*Таблица8[[#This Row],[Цена покупки CNY за единицу]]</f>
        <v>3562.5</v>
      </c>
      <c r="J80" s="57">
        <f>SUMIFS(Курсы_валют!E:E,Курсы_валют!B:B,"CNY")+0.3</f>
        <v>11.6561</v>
      </c>
      <c r="L80" s="57">
        <f>SUMIFS(Курсы_валют!E:E,Курсы_валют!B:B,"USD")</f>
        <v>81.225700000000003</v>
      </c>
      <c r="M80" s="3">
        <f>L80*K80+(Таблица8[[#This Row],[Цена покупки CNY]]*Таблица8[[#This Row],[Курс CNY]])</f>
        <v>41524.856250000004</v>
      </c>
      <c r="N80" s="3">
        <f t="shared" si="6"/>
        <v>553.66475000000003</v>
      </c>
      <c r="O80" s="10" t="s">
        <v>126</v>
      </c>
      <c r="P80" s="15">
        <f>VLOOKUP($A80,'Список товаров'!A:K,11,0)*D80/1000</f>
        <v>30</v>
      </c>
      <c r="Q80" s="4">
        <f>IFERROR((P80/SUMIFS(P:P,O:O,O80)*SUMIFS('BUYER доставка'!L:L,'BUYER доставка'!A:A,O80))/D80,"")</f>
        <v>141.47844311377247</v>
      </c>
      <c r="R80" s="5">
        <f t="shared" si="5"/>
        <v>695.14319311377244</v>
      </c>
    </row>
    <row r="81" spans="1:18" x14ac:dyDescent="0.3">
      <c r="A81" s="15" t="s">
        <v>141</v>
      </c>
      <c r="B81" t="str">
        <f>VLOOKUP($A81,'Список товаров'!A:E,5,0)</f>
        <v>Металлическая модель автобуса, свет, звук, инерционный белый Аэропорт экспресс1</v>
      </c>
      <c r="C81" s="1">
        <v>45748</v>
      </c>
      <c r="D81">
        <v>75</v>
      </c>
      <c r="E81">
        <v>75</v>
      </c>
      <c r="G81" t="b">
        <f>Таблица8[[#This Row],[Количество]]=Таблица8[[#This Row],[Принято]]+Таблица8[[#This Row],[Брак]]</f>
        <v>1</v>
      </c>
      <c r="H81" s="11">
        <v>47.5</v>
      </c>
      <c r="I81" s="11">
        <f>Таблица8[[#This Row],[Количество]]*Таблица8[[#This Row],[Цена покупки CNY за единицу]]</f>
        <v>3562.5</v>
      </c>
      <c r="J81" s="57">
        <f>SUMIFS(Курсы_валют!E:E,Курсы_валют!B:B,"CNY")+0.3</f>
        <v>11.6561</v>
      </c>
      <c r="L81" s="57">
        <f>SUMIFS(Курсы_валют!E:E,Курсы_валют!B:B,"USD")</f>
        <v>81.225700000000003</v>
      </c>
      <c r="M81" s="3">
        <f>L81*K81+(Таблица8[[#This Row],[Цена покупки CNY]]*Таблица8[[#This Row],[Курс CNY]])</f>
        <v>41524.856250000004</v>
      </c>
      <c r="N81" s="3">
        <f t="shared" si="6"/>
        <v>553.66475000000003</v>
      </c>
      <c r="O81" s="10" t="s">
        <v>126</v>
      </c>
      <c r="P81" s="15">
        <f>VLOOKUP($A81,'Список товаров'!A:K,11,0)*D81/1000</f>
        <v>30</v>
      </c>
      <c r="Q81" s="4">
        <f>IFERROR((P81/SUMIFS(P:P,O:O,O81)*SUMIFS('BUYER доставка'!L:L,'BUYER доставка'!A:A,O81))/D81,"")</f>
        <v>141.47844311377247</v>
      </c>
      <c r="R81" s="5">
        <f t="shared" si="5"/>
        <v>695.14319311377244</v>
      </c>
    </row>
    <row r="82" spans="1:18" x14ac:dyDescent="0.3">
      <c r="A82" s="15" t="s">
        <v>131</v>
      </c>
      <c r="B82" t="str">
        <f>VLOOKUP($A82,'Список товаров'!A:E,5,0)</f>
        <v>Камера мгновенной печати Print Camera Оранжевая Русифицированная</v>
      </c>
      <c r="C82" s="1">
        <v>45748</v>
      </c>
      <c r="D82">
        <v>40</v>
      </c>
      <c r="E82">
        <v>40</v>
      </c>
      <c r="G82" t="b">
        <f>Таблица8[[#This Row],[Количество]]=Таблица8[[#This Row],[Принято]]+Таблица8[[#This Row],[Брак]]</f>
        <v>1</v>
      </c>
      <c r="H82" s="11">
        <v>180</v>
      </c>
      <c r="I82" s="11">
        <f>Таблица8[[#This Row],[Количество]]*Таблица8[[#This Row],[Цена покупки CNY за единицу]]</f>
        <v>7200</v>
      </c>
      <c r="J82" s="57">
        <f>SUMIFS(Курсы_валют!E:E,Курсы_валют!B:B,"CNY")+0.3</f>
        <v>11.6561</v>
      </c>
      <c r="L82" s="57">
        <f>SUMIFS(Курсы_валют!E:E,Курсы_валют!B:B,"USD")</f>
        <v>81.225700000000003</v>
      </c>
      <c r="M82" s="3">
        <f>L82*K82+(Таблица8[[#This Row],[Цена покупки CNY]]*Таблица8[[#This Row],[Курс CNY]])</f>
        <v>83923.92</v>
      </c>
      <c r="N82" s="3">
        <f t="shared" si="6"/>
        <v>2098.098</v>
      </c>
      <c r="O82" s="10" t="s">
        <v>126</v>
      </c>
      <c r="P82" s="15">
        <f>VLOOKUP($A82,'Список товаров'!A:K,11,0)*D82/1000</f>
        <v>10</v>
      </c>
      <c r="Q82" s="4">
        <f>IFERROR((P82/SUMIFS(P:P,O:O,O82)*SUMIFS('BUYER доставка'!L:L,'BUYER доставка'!A:A,O82))/D82,"")</f>
        <v>88.424026946107801</v>
      </c>
      <c r="R82" s="5">
        <f t="shared" si="5"/>
        <v>2186.5220269461079</v>
      </c>
    </row>
    <row r="83" spans="1:18" x14ac:dyDescent="0.3">
      <c r="A83" s="15" t="s">
        <v>177</v>
      </c>
      <c r="B83" t="str">
        <f>VLOOKUP($A83,'Список товаров'!A:E,5,0)</f>
        <v>Портативная цепная пила аккумуляторная</v>
      </c>
      <c r="C83" s="1">
        <v>45748</v>
      </c>
      <c r="D83">
        <v>15</v>
      </c>
      <c r="E83">
        <v>15</v>
      </c>
      <c r="G83" t="b">
        <f>Таблица8[[#This Row],[Количество]]=Таблица8[[#This Row],[Принято]]+Таблица8[[#This Row],[Брак]]</f>
        <v>1</v>
      </c>
      <c r="H83" s="11">
        <v>89</v>
      </c>
      <c r="I83" s="11">
        <f>Таблица8[[#This Row],[Количество]]*Таблица8[[#This Row],[Цена покупки CNY за единицу]]</f>
        <v>1335</v>
      </c>
      <c r="J83" s="57">
        <f>SUMIFS(Курсы_валют!E:E,Курсы_валют!B:B,"CNY")+0.3</f>
        <v>11.6561</v>
      </c>
      <c r="L83" s="57">
        <f>SUMIFS(Курсы_валют!E:E,Курсы_валют!B:B,"USD")</f>
        <v>81.225700000000003</v>
      </c>
      <c r="M83" s="3">
        <f>L83*K83+(Таблица8[[#This Row],[Цена покупки CNY]]*Таблица8[[#This Row],[Курс CNY]])</f>
        <v>15560.8935</v>
      </c>
      <c r="N83" s="3">
        <f t="shared" si="6"/>
        <v>1037.3929000000001</v>
      </c>
      <c r="O83" s="10" t="s">
        <v>126</v>
      </c>
      <c r="P83" s="15">
        <f>VLOOKUP($A83,'Список товаров'!A:K,11,0)*D83/1000</f>
        <v>15</v>
      </c>
      <c r="Q83" s="4">
        <f>IFERROR((P83/SUMIFS(P:P,O:O,O83)*SUMIFS('BUYER доставка'!L:L,'BUYER доставка'!A:A,O83))/D83,"")</f>
        <v>353.69610778443115</v>
      </c>
      <c r="R83" s="5">
        <f t="shared" si="5"/>
        <v>1391.0890077844313</v>
      </c>
    </row>
    <row r="84" spans="1:18" x14ac:dyDescent="0.3">
      <c r="A84" s="15" t="s">
        <v>368</v>
      </c>
      <c r="B84" t="str">
        <f>VLOOKUP($A84,'Список товаров'!A:E,5,0)</f>
        <v>31.5" Монитор Asus ROG Swift OLED PG32UCDM</v>
      </c>
      <c r="C84" s="1">
        <v>45748</v>
      </c>
      <c r="D84">
        <v>1</v>
      </c>
      <c r="E84">
        <v>1</v>
      </c>
      <c r="G84" t="b">
        <f>Таблица8[[#This Row],[Количество]]=Таблица8[[#This Row],[Принято]]+Таблица8[[#This Row],[Брак]]</f>
        <v>1</v>
      </c>
      <c r="H84" s="11">
        <v>7799</v>
      </c>
      <c r="I84" s="11">
        <f>Таблица8[[#This Row],[Количество]]*Таблица8[[#This Row],[Цена покупки CNY за единицу]]</f>
        <v>7799</v>
      </c>
      <c r="J84" s="57">
        <f>SUMIFS(Курсы_валют!E:E,Курсы_валют!B:B,"CNY")+0.3</f>
        <v>11.6561</v>
      </c>
      <c r="L84" s="57">
        <f>SUMIFS(Курсы_валют!E:E,Курсы_валют!B:B,"USD")</f>
        <v>81.225700000000003</v>
      </c>
      <c r="M84" s="3">
        <f>L84*K84+(Таблица8[[#This Row],[Цена покупки CNY]]*Таблица8[[#This Row],[Курс CNY]])</f>
        <v>90905.923900000009</v>
      </c>
      <c r="N84" s="3">
        <f t="shared" si="6"/>
        <v>90905.923900000009</v>
      </c>
      <c r="O84" s="10" t="s">
        <v>127</v>
      </c>
      <c r="P84" s="15">
        <f>VLOOKUP($A84,'Список товаров'!A:K,11,0)*D84/1000</f>
        <v>16</v>
      </c>
      <c r="Q84" s="4">
        <f>IFERROR((P84/SUMIFS(P:P,O:O,O84)*SUMIFS('BUYER доставка'!L:L,'BUYER доставка'!A:A,O84))/D84,"")</f>
        <v>7814.7000000000007</v>
      </c>
      <c r="R84" s="5">
        <f t="shared" si="5"/>
        <v>98720.623900000006</v>
      </c>
    </row>
    <row r="85" spans="1:18" x14ac:dyDescent="0.3">
      <c r="A85" s="15" t="s">
        <v>174</v>
      </c>
      <c r="B85" t="str">
        <f>VLOOKUP($A85,'Список товаров'!A:E,5,0)</f>
        <v>2-х этажный металлический автобус, белый</v>
      </c>
      <c r="C85" s="1">
        <v>45748</v>
      </c>
      <c r="D85">
        <v>15</v>
      </c>
      <c r="E85">
        <v>15</v>
      </c>
      <c r="G85" t="b">
        <f>Таблица8[[#This Row],[Количество]]=Таблица8[[#This Row],[Принято]]+Таблица8[[#This Row],[Брак]]</f>
        <v>1</v>
      </c>
      <c r="H85" s="11">
        <v>46</v>
      </c>
      <c r="I85" s="11">
        <f>Таблица8[[#This Row],[Количество]]*Таблица8[[#This Row],[Цена покупки CNY за единицу]]</f>
        <v>690</v>
      </c>
      <c r="J85" s="57">
        <f>SUMIFS(Курсы_валют!E:E,Курсы_валют!B:B,"CNY")+0.3</f>
        <v>11.6561</v>
      </c>
      <c r="L85" s="57">
        <f>SUMIFS(Курсы_валют!E:E,Курсы_валют!B:B,"USD")</f>
        <v>81.225700000000003</v>
      </c>
      <c r="M85" s="3">
        <f>L85*K85+(Таблица8[[#This Row],[Цена покупки CNY]]*Таблица8[[#This Row],[Курс CNY]])</f>
        <v>8042.7089999999998</v>
      </c>
      <c r="N85" s="3">
        <f t="shared" si="6"/>
        <v>536.18060000000003</v>
      </c>
      <c r="O85" s="10" t="s">
        <v>126</v>
      </c>
      <c r="P85" s="15">
        <f>VLOOKUP($A85,'Список товаров'!A:K,11,0)*D85/1000</f>
        <v>6</v>
      </c>
      <c r="Q85" s="4">
        <f>IFERROR((P85/SUMIFS(P:P,O:O,O85)*SUMIFS('BUYER доставка'!L:L,'BUYER доставка'!A:A,O85))/D85,"")</f>
        <v>141.47844311377247</v>
      </c>
      <c r="R85" s="5">
        <f t="shared" si="5"/>
        <v>677.65904311377244</v>
      </c>
    </row>
    <row r="86" spans="1:18" x14ac:dyDescent="0.3">
      <c r="A86" s="15" t="s">
        <v>176</v>
      </c>
      <c r="B86" t="str">
        <f>VLOOKUP($A86,'Список товаров'!A:E,5,0)</f>
        <v>2-х этажный металлический автобус, синий</v>
      </c>
      <c r="C86" s="1">
        <v>45748</v>
      </c>
      <c r="D86">
        <v>15</v>
      </c>
      <c r="E86">
        <v>14</v>
      </c>
      <c r="F86">
        <v>1</v>
      </c>
      <c r="G86" t="b">
        <f>Таблица8[[#This Row],[Количество]]=Таблица8[[#This Row],[Принято]]+Таблица8[[#This Row],[Брак]]</f>
        <v>1</v>
      </c>
      <c r="H86" s="11">
        <v>46</v>
      </c>
      <c r="I86" s="11">
        <f>Таблица8[[#This Row],[Количество]]*Таблица8[[#This Row],[Цена покупки CNY за единицу]]</f>
        <v>690</v>
      </c>
      <c r="J86" s="57">
        <f>SUMIFS(Курсы_валют!E:E,Курсы_валют!B:B,"CNY")+0.3</f>
        <v>11.6561</v>
      </c>
      <c r="L86" s="57">
        <f>SUMIFS(Курсы_валют!E:E,Курсы_валют!B:B,"USD")</f>
        <v>81.225700000000003</v>
      </c>
      <c r="M86" s="3">
        <f>L86*K86+(Таблица8[[#This Row],[Цена покупки CNY]]*Таблица8[[#This Row],[Курс CNY]])</f>
        <v>8042.7089999999998</v>
      </c>
      <c r="N86" s="3">
        <f t="shared" si="6"/>
        <v>536.18060000000003</v>
      </c>
      <c r="O86" s="10" t="s">
        <v>126</v>
      </c>
      <c r="P86" s="15">
        <f>VLOOKUP($A86,'Список товаров'!A:K,11,0)*D86/1000</f>
        <v>6</v>
      </c>
      <c r="Q86" s="4">
        <f>IFERROR((P86/SUMIFS(P:P,O:O,O86)*SUMIFS('BUYER доставка'!L:L,'BUYER доставка'!A:A,O86))/D86,"")</f>
        <v>141.47844311377247</v>
      </c>
      <c r="R86" s="5">
        <f t="shared" si="5"/>
        <v>677.65904311377244</v>
      </c>
    </row>
    <row r="87" spans="1:18" x14ac:dyDescent="0.3">
      <c r="A87" s="15" t="s">
        <v>176</v>
      </c>
      <c r="B87" t="str">
        <f>VLOOKUP($A87,'Список товаров'!A:E,5,0)</f>
        <v>2-х этажный металлический автобус, синий</v>
      </c>
      <c r="C87" s="1">
        <v>45748</v>
      </c>
      <c r="D87">
        <v>10</v>
      </c>
      <c r="E87">
        <v>9</v>
      </c>
      <c r="F87">
        <v>1</v>
      </c>
      <c r="G87" t="b">
        <f>Таблица8[[#This Row],[Количество]]=Таблица8[[#This Row],[Принято]]+Таблица8[[#This Row],[Брак]]</f>
        <v>1</v>
      </c>
      <c r="H87" s="11">
        <v>46.5</v>
      </c>
      <c r="I87" s="11">
        <f>Таблица8[[#This Row],[Количество]]*Таблица8[[#This Row],[Цена покупки CNY за единицу]]</f>
        <v>465</v>
      </c>
      <c r="J87" s="57">
        <f>SUMIFS(Курсы_валют!E:E,Курсы_валют!B:B,"CNY")+0.3</f>
        <v>11.6561</v>
      </c>
      <c r="L87" s="57">
        <f>SUMIFS(Курсы_валют!E:E,Курсы_валют!B:B,"USD")</f>
        <v>81.225700000000003</v>
      </c>
      <c r="M87" s="3">
        <f>L87*K87+(Таблица8[[#This Row],[Цена покупки CNY]]*Таблица8[[#This Row],[Курс CNY]])</f>
        <v>5420.0865000000003</v>
      </c>
      <c r="N87" s="3">
        <f t="shared" si="6"/>
        <v>542.00864999999999</v>
      </c>
      <c r="O87" s="10" t="s">
        <v>126</v>
      </c>
      <c r="P87" s="15">
        <f>VLOOKUP($A87,'Список товаров'!A:K,11,0)*D87/1000</f>
        <v>4</v>
      </c>
      <c r="Q87" s="4">
        <f>IFERROR((P87/SUMIFS(P:P,O:O,O87)*SUMIFS('BUYER доставка'!L:L,'BUYER доставка'!A:A,O87))/D87,"")</f>
        <v>141.47844311377247</v>
      </c>
      <c r="R87" s="5">
        <f t="shared" si="5"/>
        <v>683.48709311377252</v>
      </c>
    </row>
    <row r="88" spans="1:18" x14ac:dyDescent="0.3">
      <c r="A88" s="15" t="s">
        <v>175</v>
      </c>
      <c r="B88" t="str">
        <f>VLOOKUP($A88,'Список товаров'!A:E,5,0)</f>
        <v>2-х этажный металлический автобус, красный</v>
      </c>
      <c r="C88" s="1">
        <v>45748</v>
      </c>
      <c r="D88">
        <v>10</v>
      </c>
      <c r="E88">
        <v>10</v>
      </c>
      <c r="G88" t="b">
        <f>Таблица8[[#This Row],[Количество]]=Таблица8[[#This Row],[Принято]]+Таблица8[[#This Row],[Брак]]</f>
        <v>1</v>
      </c>
      <c r="H88" s="11">
        <v>46.5</v>
      </c>
      <c r="I88" s="11">
        <f>Таблица8[[#This Row],[Количество]]*Таблица8[[#This Row],[Цена покупки CNY за единицу]]</f>
        <v>465</v>
      </c>
      <c r="J88" s="57">
        <f>SUMIFS(Курсы_валют!E:E,Курсы_валют!B:B,"CNY")+0.3</f>
        <v>11.6561</v>
      </c>
      <c r="L88" s="57">
        <f>SUMIFS(Курсы_валют!E:E,Курсы_валют!B:B,"USD")</f>
        <v>81.225700000000003</v>
      </c>
      <c r="M88" s="3">
        <f>L88*K88+(Таблица8[[#This Row],[Цена покупки CNY]]*Таблица8[[#This Row],[Курс CNY]])</f>
        <v>5420.0865000000003</v>
      </c>
      <c r="N88" s="3">
        <f t="shared" si="6"/>
        <v>542.00864999999999</v>
      </c>
      <c r="O88" s="10" t="s">
        <v>126</v>
      </c>
      <c r="P88" s="15">
        <f>VLOOKUP($A88,'Список товаров'!A:K,11,0)*D88/1000</f>
        <v>4</v>
      </c>
      <c r="Q88" s="4">
        <f>IFERROR((P88/SUMIFS(P:P,O:O,O88)*SUMIFS('BUYER доставка'!L:L,'BUYER доставка'!A:A,O88))/D88,"")</f>
        <v>141.47844311377247</v>
      </c>
      <c r="R88" s="5">
        <f t="shared" si="5"/>
        <v>683.48709311377252</v>
      </c>
    </row>
    <row r="89" spans="1:18" x14ac:dyDescent="0.3">
      <c r="A89" s="15" t="s">
        <v>178</v>
      </c>
      <c r="B89" t="str">
        <f>VLOOKUP($A89,'Список товаров'!A:E,5,0)</f>
        <v>Гараж пластиковый 1:24 с LED</v>
      </c>
      <c r="C89" s="1">
        <v>45748</v>
      </c>
      <c r="D89">
        <v>5</v>
      </c>
      <c r="E89">
        <v>5</v>
      </c>
      <c r="G89" t="b">
        <f>Таблица8[[#This Row],[Количество]]=Таблица8[[#This Row],[Принято]]+Таблица8[[#This Row],[Брак]]</f>
        <v>1</v>
      </c>
      <c r="H89" s="11">
        <v>35.5</v>
      </c>
      <c r="I89" s="11">
        <f>Таблица8[[#This Row],[Количество]]*Таблица8[[#This Row],[Цена покупки CNY за единицу]]</f>
        <v>177.5</v>
      </c>
      <c r="J89" s="57">
        <f>SUMIFS(Курсы_валют!E:E,Курсы_валют!B:B,"CNY")+0.3</f>
        <v>11.6561</v>
      </c>
      <c r="L89" s="57">
        <f>SUMIFS(Курсы_валют!E:E,Курсы_валют!B:B,"USD")</f>
        <v>81.225700000000003</v>
      </c>
      <c r="M89" s="3">
        <f>L89*K89+(Таблица8[[#This Row],[Цена покупки CNY]]*Таблица8[[#This Row],[Курс CNY]])</f>
        <v>2068.95775</v>
      </c>
      <c r="N89" s="3">
        <f t="shared" si="6"/>
        <v>413.79155000000003</v>
      </c>
      <c r="O89" s="10" t="s">
        <v>126</v>
      </c>
      <c r="P89" s="15">
        <f>VLOOKUP($A89,'Список товаров'!A:K,11,0)*D89/1000</f>
        <v>0.4</v>
      </c>
      <c r="Q89" s="4">
        <f>IFERROR((P89/SUMIFS(P:P,O:O,O89)*SUMIFS('BUYER доставка'!L:L,'BUYER доставка'!A:A,O89))/D89,"")</f>
        <v>28.295688622754501</v>
      </c>
      <c r="R89" s="5">
        <f t="shared" si="5"/>
        <v>442.08723862275451</v>
      </c>
    </row>
    <row r="90" spans="1:18" x14ac:dyDescent="0.3">
      <c r="A90" s="15" t="s">
        <v>359</v>
      </c>
      <c r="B90" t="str">
        <f>VLOOKUP($A90,'Список товаров'!A:E,5,0)</f>
        <v>Бумажный гараж для машин</v>
      </c>
      <c r="C90" s="1">
        <v>45748</v>
      </c>
      <c r="D90">
        <v>10</v>
      </c>
      <c r="E90">
        <v>10</v>
      </c>
      <c r="G90" t="b">
        <f>Таблица8[[#This Row],[Количество]]=Таблица8[[#This Row],[Принято]]+Таблица8[[#This Row],[Брак]]</f>
        <v>1</v>
      </c>
      <c r="H90" s="11">
        <v>6</v>
      </c>
      <c r="I90" s="11">
        <f>Таблица8[[#This Row],[Количество]]*Таблица8[[#This Row],[Цена покупки CNY за единицу]]</f>
        <v>60</v>
      </c>
      <c r="J90" s="57">
        <f>SUMIFS(Курсы_валют!E:E,Курсы_валют!B:B,"CNY")+0.3</f>
        <v>11.6561</v>
      </c>
      <c r="L90" s="57">
        <f>SUMIFS(Курсы_валют!E:E,Курсы_валют!B:B,"USD")</f>
        <v>81.225700000000003</v>
      </c>
      <c r="M90" s="3">
        <f>L90*K90+(Таблица8[[#This Row],[Цена покупки CNY]]*Таблица8[[#This Row],[Курс CNY]])</f>
        <v>699.36599999999999</v>
      </c>
      <c r="N90" s="3">
        <f t="shared" si="6"/>
        <v>69.936599999999999</v>
      </c>
      <c r="O90" s="10" t="s">
        <v>126</v>
      </c>
      <c r="P90" s="15">
        <f>VLOOKUP($A90,'Список товаров'!A:K,11,0)*D90/1000</f>
        <v>0.2</v>
      </c>
      <c r="Q90" s="4">
        <f>IFERROR((P90/SUMIFS(P:P,O:O,O90)*SUMIFS('BUYER доставка'!L:L,'BUYER доставка'!A:A,O90))/D90,"")</f>
        <v>7.0739221556886251</v>
      </c>
      <c r="R90" s="5">
        <f t="shared" si="5"/>
        <v>77.010522155688619</v>
      </c>
    </row>
    <row r="91" spans="1:18" x14ac:dyDescent="0.3">
      <c r="A91" s="15" t="s">
        <v>359</v>
      </c>
      <c r="B91" t="str">
        <f>VLOOKUP($A91,'Список товаров'!A:E,5,0)</f>
        <v>Бумажный гараж для машин</v>
      </c>
      <c r="C91" s="1">
        <v>45748</v>
      </c>
      <c r="D91">
        <v>10</v>
      </c>
      <c r="E91">
        <v>10</v>
      </c>
      <c r="G91" t="b">
        <f>Таблица8[[#This Row],[Количество]]=Таблица8[[#This Row],[Принято]]+Таблица8[[#This Row],[Брак]]</f>
        <v>1</v>
      </c>
      <c r="H91" s="11">
        <v>6</v>
      </c>
      <c r="I91" s="11">
        <f>Таблица8[[#This Row],[Количество]]*Таблица8[[#This Row],[Цена покупки CNY за единицу]]</f>
        <v>60</v>
      </c>
      <c r="J91" s="57">
        <f>SUMIFS(Курсы_валют!E:E,Курсы_валют!B:B,"CNY")+0.3</f>
        <v>11.6561</v>
      </c>
      <c r="L91" s="57">
        <f>SUMIFS(Курсы_валют!E:E,Курсы_валют!B:B,"USD")</f>
        <v>81.225700000000003</v>
      </c>
      <c r="M91" s="3">
        <f>L91*K91+(Таблица8[[#This Row],[Цена покупки CNY]]*Таблица8[[#This Row],[Курс CNY]])</f>
        <v>699.36599999999999</v>
      </c>
      <c r="N91" s="3">
        <f t="shared" si="6"/>
        <v>69.936599999999999</v>
      </c>
      <c r="O91" s="10" t="s">
        <v>126</v>
      </c>
      <c r="P91" s="15">
        <f>VLOOKUP($A91,'Список товаров'!A:K,11,0)*D91/1000</f>
        <v>0.2</v>
      </c>
      <c r="Q91" s="4">
        <f>IFERROR((P91/SUMIFS(P:P,O:O,O91)*SUMIFS('BUYER доставка'!L:L,'BUYER доставка'!A:A,O91))/D91,"")</f>
        <v>7.0739221556886251</v>
      </c>
      <c r="R91" s="5">
        <f t="shared" si="5"/>
        <v>77.010522155688619</v>
      </c>
    </row>
    <row r="92" spans="1:18" x14ac:dyDescent="0.3">
      <c r="A92" s="15" t="s">
        <v>359</v>
      </c>
      <c r="B92" t="str">
        <f>VLOOKUP($A92,'Список товаров'!A:E,5,0)</f>
        <v>Бумажный гараж для машин</v>
      </c>
      <c r="C92" s="1">
        <v>45748</v>
      </c>
      <c r="D92">
        <v>10</v>
      </c>
      <c r="E92">
        <v>10</v>
      </c>
      <c r="G92" t="b">
        <f>Таблица8[[#This Row],[Количество]]=Таблица8[[#This Row],[Принято]]+Таблица8[[#This Row],[Брак]]</f>
        <v>1</v>
      </c>
      <c r="H92" s="11">
        <v>6</v>
      </c>
      <c r="I92" s="11">
        <f>Таблица8[[#This Row],[Количество]]*Таблица8[[#This Row],[Цена покупки CNY за единицу]]</f>
        <v>60</v>
      </c>
      <c r="J92" s="57">
        <f>SUMIFS(Курсы_валют!E:E,Курсы_валют!B:B,"CNY")+0.3</f>
        <v>11.6561</v>
      </c>
      <c r="L92" s="57">
        <f>SUMIFS(Курсы_валют!E:E,Курсы_валют!B:B,"USD")</f>
        <v>81.225700000000003</v>
      </c>
      <c r="M92" s="3">
        <f>L92*K92+(Таблица8[[#This Row],[Цена покупки CNY]]*Таблица8[[#This Row],[Курс CNY]])</f>
        <v>699.36599999999999</v>
      </c>
      <c r="N92" s="3">
        <f t="shared" si="6"/>
        <v>69.936599999999999</v>
      </c>
      <c r="O92" s="10" t="s">
        <v>126</v>
      </c>
      <c r="P92" s="15">
        <f>VLOOKUP($A92,'Список товаров'!A:K,11,0)*D92/1000</f>
        <v>0.2</v>
      </c>
      <c r="Q92" s="4">
        <f>IFERROR((P92/SUMIFS(P:P,O:O,O92)*SUMIFS('BUYER доставка'!L:L,'BUYER доставка'!A:A,O92))/D92,"")</f>
        <v>7.0739221556886251</v>
      </c>
      <c r="R92" s="5">
        <f t="shared" si="5"/>
        <v>77.010522155688619</v>
      </c>
    </row>
    <row r="93" spans="1:18" x14ac:dyDescent="0.3">
      <c r="A93" s="15" t="s">
        <v>359</v>
      </c>
      <c r="B93" t="str">
        <f>VLOOKUP($A93,'Список товаров'!A:E,5,0)</f>
        <v>Бумажный гараж для машин</v>
      </c>
      <c r="C93" s="1">
        <v>45748</v>
      </c>
      <c r="D93">
        <v>10</v>
      </c>
      <c r="E93">
        <v>10</v>
      </c>
      <c r="G93" t="b">
        <f>Таблица8[[#This Row],[Количество]]=Таблица8[[#This Row],[Принято]]+Таблица8[[#This Row],[Брак]]</f>
        <v>1</v>
      </c>
      <c r="H93" s="11">
        <v>6</v>
      </c>
      <c r="I93" s="11">
        <f>Таблица8[[#This Row],[Количество]]*Таблица8[[#This Row],[Цена покупки CNY за единицу]]</f>
        <v>60</v>
      </c>
      <c r="J93" s="57">
        <f>SUMIFS(Курсы_валют!E:E,Курсы_валют!B:B,"CNY")+0.3</f>
        <v>11.6561</v>
      </c>
      <c r="L93" s="57">
        <f>SUMIFS(Курсы_валют!E:E,Курсы_валют!B:B,"USD")</f>
        <v>81.225700000000003</v>
      </c>
      <c r="M93" s="3">
        <f>L93*K93+(Таблица8[[#This Row],[Цена покупки CNY]]*Таблица8[[#This Row],[Курс CNY]])</f>
        <v>699.36599999999999</v>
      </c>
      <c r="N93" s="3">
        <f t="shared" si="6"/>
        <v>69.936599999999999</v>
      </c>
      <c r="O93" s="10" t="s">
        <v>126</v>
      </c>
      <c r="P93" s="15">
        <f>VLOOKUP($A93,'Список товаров'!A:K,11,0)*D93/1000</f>
        <v>0.2</v>
      </c>
      <c r="Q93" s="4">
        <f>IFERROR((P93/SUMIFS(P:P,O:O,O93)*SUMIFS('BUYER доставка'!L:L,'BUYER доставка'!A:A,O93))/D93,"")</f>
        <v>7.0739221556886251</v>
      </c>
      <c r="R93" s="5">
        <f t="shared" si="5"/>
        <v>77.010522155688619</v>
      </c>
    </row>
    <row r="94" spans="1:18" x14ac:dyDescent="0.3">
      <c r="A94" s="15" t="s">
        <v>359</v>
      </c>
      <c r="B94" t="str">
        <f>VLOOKUP($A94,'Список товаров'!A:E,5,0)</f>
        <v>Бумажный гараж для машин</v>
      </c>
      <c r="C94" s="1">
        <v>45748</v>
      </c>
      <c r="D94">
        <v>10</v>
      </c>
      <c r="E94">
        <v>10</v>
      </c>
      <c r="G94" t="b">
        <f>Таблица8[[#This Row],[Количество]]=Таблица8[[#This Row],[Принято]]+Таблица8[[#This Row],[Брак]]</f>
        <v>1</v>
      </c>
      <c r="H94" s="11">
        <v>6</v>
      </c>
      <c r="I94" s="11">
        <f>Таблица8[[#This Row],[Количество]]*Таблица8[[#This Row],[Цена покупки CNY за единицу]]</f>
        <v>60</v>
      </c>
      <c r="J94" s="57">
        <f>SUMIFS(Курсы_валют!E:E,Курсы_валют!B:B,"CNY")+0.3</f>
        <v>11.6561</v>
      </c>
      <c r="L94" s="57">
        <f>SUMIFS(Курсы_валют!E:E,Курсы_валют!B:B,"USD")</f>
        <v>81.225700000000003</v>
      </c>
      <c r="M94" s="3">
        <f>L94*K94+(Таблица8[[#This Row],[Цена покупки CNY]]*Таблица8[[#This Row],[Курс CNY]])</f>
        <v>699.36599999999999</v>
      </c>
      <c r="N94" s="3">
        <f t="shared" si="6"/>
        <v>69.936599999999999</v>
      </c>
      <c r="O94" s="10" t="s">
        <v>126</v>
      </c>
      <c r="P94" s="15">
        <f>VLOOKUP($A94,'Список товаров'!A:K,11,0)*D94/1000</f>
        <v>0.2</v>
      </c>
      <c r="Q94" s="4">
        <f>IFERROR((P94/SUMIFS(P:P,O:O,O94)*SUMIFS('BUYER доставка'!L:L,'BUYER доставка'!A:A,O94))/D94,"")</f>
        <v>7.0739221556886251</v>
      </c>
      <c r="R94" s="5">
        <f t="shared" si="5"/>
        <v>77.010522155688619</v>
      </c>
    </row>
    <row r="95" spans="1:18" x14ac:dyDescent="0.3">
      <c r="A95" s="15" t="s">
        <v>359</v>
      </c>
      <c r="B95" t="str">
        <f>VLOOKUP($A95,'Список товаров'!A:E,5,0)</f>
        <v>Бумажный гараж для машин</v>
      </c>
      <c r="C95" s="1">
        <v>45748</v>
      </c>
      <c r="D95">
        <v>10</v>
      </c>
      <c r="E95">
        <v>10</v>
      </c>
      <c r="G95" t="b">
        <f>Таблица8[[#This Row],[Количество]]=Таблица8[[#This Row],[Принято]]+Таблица8[[#This Row],[Брак]]</f>
        <v>1</v>
      </c>
      <c r="H95" s="11">
        <v>6</v>
      </c>
      <c r="I95" s="11">
        <f>Таблица8[[#This Row],[Количество]]*Таблица8[[#This Row],[Цена покупки CNY за единицу]]</f>
        <v>60</v>
      </c>
      <c r="J95" s="57">
        <f>SUMIFS(Курсы_валют!E:E,Курсы_валют!B:B,"CNY")+0.3</f>
        <v>11.6561</v>
      </c>
      <c r="L95" s="57">
        <f>SUMIFS(Курсы_валют!E:E,Курсы_валют!B:B,"USD")</f>
        <v>81.225700000000003</v>
      </c>
      <c r="M95" s="3">
        <f>L95*K95+(Таблица8[[#This Row],[Цена покупки CNY]]*Таблица8[[#This Row],[Курс CNY]])</f>
        <v>699.36599999999999</v>
      </c>
      <c r="N95" s="3">
        <f t="shared" si="6"/>
        <v>69.936599999999999</v>
      </c>
      <c r="O95" s="10" t="s">
        <v>126</v>
      </c>
      <c r="P95" s="15">
        <f>VLOOKUP($A95,'Список товаров'!A:K,11,0)*D95/1000</f>
        <v>0.2</v>
      </c>
      <c r="Q95" s="4">
        <f>IFERROR((P95/SUMIFS(P:P,O:O,O95)*SUMIFS('BUYER доставка'!L:L,'BUYER доставка'!A:A,O95))/D95,"")</f>
        <v>7.0739221556886251</v>
      </c>
      <c r="R95" s="5">
        <f t="shared" si="5"/>
        <v>77.010522155688619</v>
      </c>
    </row>
    <row r="96" spans="1:18" x14ac:dyDescent="0.3">
      <c r="A96" s="15" t="s">
        <v>359</v>
      </c>
      <c r="B96" t="str">
        <f>VLOOKUP($A96,'Список товаров'!A:E,5,0)</f>
        <v>Бумажный гараж для машин</v>
      </c>
      <c r="C96" s="1">
        <v>45748</v>
      </c>
      <c r="D96">
        <v>10</v>
      </c>
      <c r="E96">
        <v>10</v>
      </c>
      <c r="G96" t="b">
        <f>Таблица8[[#This Row],[Количество]]=Таблица8[[#This Row],[Принято]]+Таблица8[[#This Row],[Брак]]</f>
        <v>1</v>
      </c>
      <c r="H96" s="11">
        <v>6</v>
      </c>
      <c r="I96" s="11">
        <f>Таблица8[[#This Row],[Количество]]*Таблица8[[#This Row],[Цена покупки CNY за единицу]]</f>
        <v>60</v>
      </c>
      <c r="J96" s="57">
        <f>SUMIFS(Курсы_валют!E:E,Курсы_валют!B:B,"CNY")+0.3</f>
        <v>11.6561</v>
      </c>
      <c r="L96" s="57">
        <f>SUMIFS(Курсы_валют!E:E,Курсы_валют!B:B,"USD")</f>
        <v>81.225700000000003</v>
      </c>
      <c r="M96" s="3">
        <f>L96*K96+(Таблица8[[#This Row],[Цена покупки CNY]]*Таблица8[[#This Row],[Курс CNY]])</f>
        <v>699.36599999999999</v>
      </c>
      <c r="N96" s="3">
        <f t="shared" si="6"/>
        <v>69.936599999999999</v>
      </c>
      <c r="O96" s="10" t="s">
        <v>126</v>
      </c>
      <c r="P96" s="15">
        <f>VLOOKUP($A96,'Список товаров'!A:K,11,0)*D96/1000</f>
        <v>0.2</v>
      </c>
      <c r="Q96" s="4">
        <f>IFERROR((P96/SUMIFS(P:P,O:O,O96)*SUMIFS('BUYER доставка'!L:L,'BUYER доставка'!A:A,O96))/D96,"")</f>
        <v>7.0739221556886251</v>
      </c>
      <c r="R96" s="5">
        <f t="shared" si="5"/>
        <v>77.010522155688619</v>
      </c>
    </row>
    <row r="97" spans="1:18" x14ac:dyDescent="0.3">
      <c r="A97" s="15" t="s">
        <v>179</v>
      </c>
      <c r="B97" t="str">
        <f>VLOOKUP($A97,'Список товаров'!A:E,5,0)</f>
        <v>Фотопринтер карманный цветной Hanyin MT53</v>
      </c>
      <c r="C97" s="1">
        <v>45748</v>
      </c>
      <c r="D97">
        <v>15</v>
      </c>
      <c r="E97">
        <v>15</v>
      </c>
      <c r="G97" t="b">
        <f>Таблица8[[#This Row],[Количество]]=Таблица8[[#This Row],[Принято]]+Таблица8[[#This Row],[Брак]]</f>
        <v>1</v>
      </c>
      <c r="H97" s="11">
        <v>379</v>
      </c>
      <c r="I97" s="11">
        <f>Таблица8[[#This Row],[Количество]]*Таблица8[[#This Row],[Цена покупки CNY за единицу]]</f>
        <v>5685</v>
      </c>
      <c r="J97" s="57">
        <f>SUMIFS(Курсы_валют!E:E,Курсы_валют!B:B,"CNY")+0.3</f>
        <v>11.6561</v>
      </c>
      <c r="L97" s="57">
        <f>SUMIFS(Курсы_валют!E:E,Курсы_валют!B:B,"USD")</f>
        <v>81.225700000000003</v>
      </c>
      <c r="M97" s="3">
        <f>L97*K97+(Таблица8[[#This Row],[Цена покупки CNY]]*Таблица8[[#This Row],[Курс CNY]])</f>
        <v>66264.928500000009</v>
      </c>
      <c r="N97" s="3">
        <f t="shared" si="6"/>
        <v>4417.6619000000001</v>
      </c>
      <c r="O97" s="10" t="s">
        <v>126</v>
      </c>
      <c r="P97" s="15">
        <f>VLOOKUP($A97,'Список товаров'!A:K,11,0)*D97/1000</f>
        <v>2.1</v>
      </c>
      <c r="Q97" s="4">
        <f>IFERROR((P97/SUMIFS(P:P,O:O,O97)*SUMIFS('BUYER доставка'!L:L,'BUYER доставка'!A:A,O97))/D97,"")</f>
        <v>49.517455089820366</v>
      </c>
      <c r="R97" s="5">
        <f t="shared" si="5"/>
        <v>4467.1793550898201</v>
      </c>
    </row>
    <row r="98" spans="1:18" x14ac:dyDescent="0.3">
      <c r="A98" s="15" t="s">
        <v>164</v>
      </c>
      <c r="B98" t="str">
        <f>VLOOKUP($A98,'Список товаров'!A:E,5,0)</f>
        <v>Сборная модель Ford 2018 Mustang GT 1:42 Желтая</v>
      </c>
      <c r="C98" s="1">
        <v>45748</v>
      </c>
      <c r="D98">
        <v>15</v>
      </c>
      <c r="E98">
        <v>15</v>
      </c>
      <c r="G98" t="b">
        <f>Таблица8[[#This Row],[Количество]]=Таблица8[[#This Row],[Принято]]+Таблица8[[#This Row],[Брак]]</f>
        <v>1</v>
      </c>
      <c r="H98" s="11">
        <v>26</v>
      </c>
      <c r="I98" s="11">
        <f>Таблица8[[#This Row],[Количество]]*Таблица8[[#This Row],[Цена покупки CNY за единицу]]</f>
        <v>390</v>
      </c>
      <c r="J98" s="57">
        <f>SUMIFS(Курсы_валют!E:E,Курсы_валют!B:B,"CNY")+0.3</f>
        <v>11.6561</v>
      </c>
      <c r="L98" s="57">
        <f>SUMIFS(Курсы_валют!E:E,Курсы_валют!B:B,"USD")</f>
        <v>81.225700000000003</v>
      </c>
      <c r="M98" s="3">
        <f>L98*K98+(Таблица8[[#This Row],[Цена покупки CNY]]*Таблица8[[#This Row],[Курс CNY]])</f>
        <v>4545.8789999999999</v>
      </c>
      <c r="N98" s="3">
        <f t="shared" si="6"/>
        <v>303.05860000000001</v>
      </c>
      <c r="O98" s="10" t="s">
        <v>126</v>
      </c>
      <c r="P98" s="15">
        <f>VLOOKUP($A98,'Список товаров'!A:K,11,0)*D98/1000</f>
        <v>3.3</v>
      </c>
      <c r="Q98" s="4">
        <f>IFERROR((P98/SUMIFS(P:P,O:O,O98)*SUMIFS('BUYER доставка'!L:L,'BUYER доставка'!A:A,O98))/D98,"")</f>
        <v>77.813143712574856</v>
      </c>
      <c r="R98" s="5">
        <f t="shared" si="5"/>
        <v>380.87174371257487</v>
      </c>
    </row>
    <row r="99" spans="1:18" x14ac:dyDescent="0.3">
      <c r="A99" s="15" t="s">
        <v>165</v>
      </c>
      <c r="B99" t="str">
        <f>VLOOKUP($A99,'Список товаров'!A:E,5,0)</f>
        <v>Сборная модель Ford 2018 Mustang GT 1:42 Синяя</v>
      </c>
      <c r="C99" s="1">
        <v>45748</v>
      </c>
      <c r="D99">
        <v>15</v>
      </c>
      <c r="E99">
        <v>15</v>
      </c>
      <c r="G99" t="b">
        <f>Таблица8[[#This Row],[Количество]]=Таблица8[[#This Row],[Принято]]+Таблица8[[#This Row],[Брак]]</f>
        <v>1</v>
      </c>
      <c r="H99" s="11">
        <v>26</v>
      </c>
      <c r="I99" s="11">
        <f>Таблица8[[#This Row],[Количество]]*Таблица8[[#This Row],[Цена покупки CNY за единицу]]</f>
        <v>390</v>
      </c>
      <c r="J99" s="57">
        <f>SUMIFS(Курсы_валют!E:E,Курсы_валют!B:B,"CNY")+0.3</f>
        <v>11.6561</v>
      </c>
      <c r="L99" s="57">
        <f>SUMIFS(Курсы_валют!E:E,Курсы_валют!B:B,"USD")</f>
        <v>81.225700000000003</v>
      </c>
      <c r="M99" s="3">
        <f>L99*K99+(Таблица8[[#This Row],[Цена покупки CNY]]*Таблица8[[#This Row],[Курс CNY]])</f>
        <v>4545.8789999999999</v>
      </c>
      <c r="N99" s="3">
        <f t="shared" si="6"/>
        <v>303.05860000000001</v>
      </c>
      <c r="O99" s="10" t="s">
        <v>126</v>
      </c>
      <c r="P99" s="15">
        <f>VLOOKUP($A99,'Список товаров'!A:K,11,0)*D99/1000</f>
        <v>3.3</v>
      </c>
      <c r="Q99" s="4">
        <f>IFERROR((P99/SUMIFS(P:P,O:O,O99)*SUMIFS('BUYER доставка'!L:L,'BUYER доставка'!A:A,O99))/D99,"")</f>
        <v>77.813143712574856</v>
      </c>
      <c r="R99" s="5">
        <f t="shared" si="5"/>
        <v>380.87174371257487</v>
      </c>
    </row>
    <row r="100" spans="1:18" x14ac:dyDescent="0.3">
      <c r="A100" s="15" t="s">
        <v>167</v>
      </c>
      <c r="B100" t="str">
        <f>VLOOKUP($A100,'Список товаров'!A:E,5,0)</f>
        <v>Сборная модель Ford 2018 Mustang GT 1:42 Красная</v>
      </c>
      <c r="C100" s="1">
        <v>45748</v>
      </c>
      <c r="D100">
        <v>15</v>
      </c>
      <c r="E100">
        <v>15</v>
      </c>
      <c r="G100" t="b">
        <f>Таблица8[[#This Row],[Количество]]=Таблица8[[#This Row],[Принято]]+Таблица8[[#This Row],[Брак]]</f>
        <v>1</v>
      </c>
      <c r="H100" s="11">
        <v>26</v>
      </c>
      <c r="I100" s="11">
        <f>Таблица8[[#This Row],[Количество]]*Таблица8[[#This Row],[Цена покупки CNY за единицу]]</f>
        <v>390</v>
      </c>
      <c r="J100" s="57">
        <f>SUMIFS(Курсы_валют!E:E,Курсы_валют!B:B,"CNY")+0.3</f>
        <v>11.6561</v>
      </c>
      <c r="L100" s="57">
        <f>SUMIFS(Курсы_валют!E:E,Курсы_валют!B:B,"USD")</f>
        <v>81.225700000000003</v>
      </c>
      <c r="M100" s="3">
        <f>L100*K100+(Таблица8[[#This Row],[Цена покупки CNY]]*Таблица8[[#This Row],[Курс CNY]])</f>
        <v>4545.8789999999999</v>
      </c>
      <c r="N100" s="3">
        <f t="shared" si="6"/>
        <v>303.05860000000001</v>
      </c>
      <c r="O100" s="10" t="s">
        <v>126</v>
      </c>
      <c r="P100" s="15">
        <f>VLOOKUP($A100,'Список товаров'!A:K,11,0)*D100/1000</f>
        <v>3.3</v>
      </c>
      <c r="Q100" s="4">
        <f>IFERROR((P100/SUMIFS(P:P,O:O,O100)*SUMIFS('BUYER доставка'!L:L,'BUYER доставка'!A:A,O100))/D100,"")</f>
        <v>77.813143712574856</v>
      </c>
      <c r="R100" s="5">
        <f t="shared" si="5"/>
        <v>380.87174371257487</v>
      </c>
    </row>
    <row r="101" spans="1:18" x14ac:dyDescent="0.3">
      <c r="A101" s="15" t="s">
        <v>168</v>
      </c>
      <c r="B101" t="str">
        <f>VLOOKUP($A101,'Список товаров'!A:E,5,0)</f>
        <v>Сборная модель Land Rover Defender 110 1:42 Зеленая</v>
      </c>
      <c r="C101" s="1">
        <v>45748</v>
      </c>
      <c r="D101">
        <v>15</v>
      </c>
      <c r="E101">
        <v>18</v>
      </c>
      <c r="G101" t="b">
        <f>Таблица8[[#This Row],[Количество]]=Таблица8[[#This Row],[Принято]]+Таблица8[[#This Row],[Брак]]</f>
        <v>0</v>
      </c>
      <c r="H101" s="11">
        <v>29</v>
      </c>
      <c r="I101" s="11">
        <f>Таблица8[[#This Row],[Количество]]*Таблица8[[#This Row],[Цена покупки CNY за единицу]]</f>
        <v>435</v>
      </c>
      <c r="J101" s="57">
        <f>SUMIFS(Курсы_валют!E:E,Курсы_валют!B:B,"CNY")+0.3</f>
        <v>11.6561</v>
      </c>
      <c r="L101" s="57">
        <f>SUMIFS(Курсы_валют!E:E,Курсы_валют!B:B,"USD")</f>
        <v>81.225700000000003</v>
      </c>
      <c r="M101" s="3">
        <f>L101*K101+(Таблица8[[#This Row],[Цена покупки CNY]]*Таблица8[[#This Row],[Курс CNY]])</f>
        <v>5070.4035000000003</v>
      </c>
      <c r="N101" s="3">
        <f t="shared" si="6"/>
        <v>338.02690000000001</v>
      </c>
      <c r="O101" s="10" t="s">
        <v>126</v>
      </c>
      <c r="P101" s="15">
        <f>VLOOKUP($A101,'Список товаров'!A:K,11,0)*D101/1000</f>
        <v>3.3</v>
      </c>
      <c r="Q101" s="4">
        <f>IFERROR((P101/SUMIFS(P:P,O:O,O101)*SUMIFS('BUYER доставка'!L:L,'BUYER доставка'!A:A,O101))/D101,"")</f>
        <v>77.813143712574856</v>
      </c>
      <c r="R101" s="5">
        <f t="shared" si="5"/>
        <v>415.84004371257487</v>
      </c>
    </row>
    <row r="102" spans="1:18" x14ac:dyDescent="0.3">
      <c r="A102" s="15" t="s">
        <v>166</v>
      </c>
      <c r="B102" t="str">
        <f>VLOOKUP($A102,'Список товаров'!A:E,5,0)</f>
        <v>Сборная модель Land Rover Defender 110 1:42 Красная</v>
      </c>
      <c r="C102" s="1">
        <v>45748</v>
      </c>
      <c r="D102">
        <v>15</v>
      </c>
      <c r="E102">
        <v>18</v>
      </c>
      <c r="G102" t="b">
        <f>Таблица8[[#This Row],[Количество]]=Таблица8[[#This Row],[Принято]]+Таблица8[[#This Row],[Брак]]</f>
        <v>0</v>
      </c>
      <c r="H102" s="11">
        <v>29</v>
      </c>
      <c r="I102" s="11">
        <f>Таблица8[[#This Row],[Количество]]*Таблица8[[#This Row],[Цена покупки CNY за единицу]]</f>
        <v>435</v>
      </c>
      <c r="J102" s="57">
        <f>SUMIFS(Курсы_валют!E:E,Курсы_валют!B:B,"CNY")+0.3</f>
        <v>11.6561</v>
      </c>
      <c r="L102" s="57">
        <f>SUMIFS(Курсы_валют!E:E,Курсы_валют!B:B,"USD")</f>
        <v>81.225700000000003</v>
      </c>
      <c r="M102" s="3">
        <f>L102*K102+(Таблица8[[#This Row],[Цена покупки CNY]]*Таблица8[[#This Row],[Курс CNY]])</f>
        <v>5070.4035000000003</v>
      </c>
      <c r="N102" s="3">
        <f t="shared" si="6"/>
        <v>338.02690000000001</v>
      </c>
      <c r="O102" s="10" t="s">
        <v>126</v>
      </c>
      <c r="P102" s="15">
        <f>VLOOKUP($A102,'Список товаров'!A:K,11,0)*D102/1000</f>
        <v>3.3</v>
      </c>
      <c r="Q102" s="4">
        <f>IFERROR((P102/SUMIFS(P:P,O:O,O102)*SUMIFS('BUYER доставка'!L:L,'BUYER доставка'!A:A,O102))/D102,"")</f>
        <v>77.813143712574856</v>
      </c>
      <c r="R102" s="5">
        <f t="shared" si="5"/>
        <v>415.84004371257487</v>
      </c>
    </row>
    <row r="103" spans="1:18" x14ac:dyDescent="0.3">
      <c r="A103" s="15" t="s">
        <v>172</v>
      </c>
      <c r="B103" t="str">
        <f>VLOOKUP($A103,'Список товаров'!A:E,5,0)</f>
        <v>Сборная модель Land Rover Defender 110 1:42 Серая</v>
      </c>
      <c r="C103" s="1">
        <v>45748</v>
      </c>
      <c r="D103">
        <v>15</v>
      </c>
      <c r="E103">
        <v>18</v>
      </c>
      <c r="G103" t="b">
        <f>Таблица8[[#This Row],[Количество]]=Таблица8[[#This Row],[Принято]]+Таблица8[[#This Row],[Брак]]</f>
        <v>0</v>
      </c>
      <c r="H103" s="11">
        <v>29</v>
      </c>
      <c r="I103" s="11">
        <f>Таблица8[[#This Row],[Количество]]*Таблица8[[#This Row],[Цена покупки CNY за единицу]]</f>
        <v>435</v>
      </c>
      <c r="J103" s="57">
        <f>SUMIFS(Курсы_валют!E:E,Курсы_валют!B:B,"CNY")+0.3</f>
        <v>11.6561</v>
      </c>
      <c r="L103" s="57">
        <f>SUMIFS(Курсы_валют!E:E,Курсы_валют!B:B,"USD")</f>
        <v>81.225700000000003</v>
      </c>
      <c r="M103" s="3">
        <f>L103*K103+(Таблица8[[#This Row],[Цена покупки CNY]]*Таблица8[[#This Row],[Курс CNY]])</f>
        <v>5070.4035000000003</v>
      </c>
      <c r="N103" s="3">
        <f t="shared" ref="N103:N166" si="7">J103*H103</f>
        <v>338.02690000000001</v>
      </c>
      <c r="O103" s="10" t="s">
        <v>126</v>
      </c>
      <c r="P103" s="15">
        <f>VLOOKUP($A103,'Список товаров'!A:K,11,0)*D103/1000</f>
        <v>3.3</v>
      </c>
      <c r="Q103" s="4">
        <f>IFERROR((P103/SUMIFS(P:P,O:O,O103)*SUMIFS('BUYER доставка'!L:L,'BUYER доставка'!A:A,O103))/D103,"")</f>
        <v>77.813143712574856</v>
      </c>
      <c r="R103" s="5">
        <f t="shared" si="5"/>
        <v>415.84004371257487</v>
      </c>
    </row>
    <row r="104" spans="1:18" x14ac:dyDescent="0.3">
      <c r="A104" s="15" t="s">
        <v>171</v>
      </c>
      <c r="B104" t="str">
        <f>VLOOKUP($A104,'Список товаров'!A:E,5,0)</f>
        <v>Сборная модель Land Rover Defender 110 1:42 Голубая</v>
      </c>
      <c r="C104" s="1">
        <v>45748</v>
      </c>
      <c r="D104">
        <v>15</v>
      </c>
      <c r="E104">
        <v>6</v>
      </c>
      <c r="G104" t="b">
        <f>Таблица8[[#This Row],[Количество]]=Таблица8[[#This Row],[Принято]]+Таблица8[[#This Row],[Брак]]</f>
        <v>0</v>
      </c>
      <c r="H104" s="11">
        <v>29</v>
      </c>
      <c r="I104" s="11">
        <f>Таблица8[[#This Row],[Количество]]*Таблица8[[#This Row],[Цена покупки CNY за единицу]]</f>
        <v>435</v>
      </c>
      <c r="J104" s="57">
        <f>SUMIFS(Курсы_валют!E:E,Курсы_валют!B:B,"CNY")+0.3</f>
        <v>11.6561</v>
      </c>
      <c r="L104" s="57">
        <f>SUMIFS(Курсы_валют!E:E,Курсы_валют!B:B,"USD")</f>
        <v>81.225700000000003</v>
      </c>
      <c r="M104" s="3">
        <f>L104*K104+(Таблица8[[#This Row],[Цена покупки CNY]]*Таблица8[[#This Row],[Курс CNY]])</f>
        <v>5070.4035000000003</v>
      </c>
      <c r="N104" s="3">
        <f t="shared" si="7"/>
        <v>338.02690000000001</v>
      </c>
      <c r="O104" s="10" t="s">
        <v>126</v>
      </c>
      <c r="P104" s="15">
        <f>VLOOKUP($A104,'Список товаров'!A:K,11,0)*D104/1000</f>
        <v>3.3</v>
      </c>
      <c r="Q104" s="4">
        <f>IFERROR((P104/SUMIFS(P:P,O:O,O104)*SUMIFS('BUYER доставка'!L:L,'BUYER доставка'!A:A,O104))/D104,"")</f>
        <v>77.813143712574856</v>
      </c>
      <c r="R104" s="5">
        <f t="shared" si="5"/>
        <v>415.84004371257487</v>
      </c>
    </row>
    <row r="105" spans="1:18" x14ac:dyDescent="0.3">
      <c r="A105" s="15" t="s">
        <v>169</v>
      </c>
      <c r="B105" t="str">
        <f>VLOOKUP($A105,'Список товаров'!A:E,5,0)</f>
        <v>Сборная модель Dodge Challenger Hellcat 1:36 Черная</v>
      </c>
      <c r="C105" s="1">
        <v>45748</v>
      </c>
      <c r="D105">
        <v>2</v>
      </c>
      <c r="E105">
        <v>5</v>
      </c>
      <c r="G105" t="b">
        <f>Таблица8[[#This Row],[Количество]]=Таблица8[[#This Row],[Принято]]+Таблица8[[#This Row],[Брак]]</f>
        <v>0</v>
      </c>
      <c r="H105" s="11">
        <v>50</v>
      </c>
      <c r="I105" s="11">
        <f>Таблица8[[#This Row],[Количество]]*Таблица8[[#This Row],[Цена покупки CNY за единицу]]</f>
        <v>100</v>
      </c>
      <c r="J105" s="57">
        <f>SUMIFS(Курсы_валют!E:E,Курсы_валют!B:B,"CNY")+0.3</f>
        <v>11.6561</v>
      </c>
      <c r="L105" s="57">
        <f>SUMIFS(Курсы_валют!E:E,Курсы_валют!B:B,"USD")</f>
        <v>81.225700000000003</v>
      </c>
      <c r="M105" s="3">
        <f>L105*K105+(Таблица8[[#This Row],[Цена покупки CNY]]*Таблица8[[#This Row],[Курс CNY]])</f>
        <v>1165.6100000000001</v>
      </c>
      <c r="N105" s="3">
        <f t="shared" si="7"/>
        <v>582.80500000000006</v>
      </c>
      <c r="O105" s="10" t="s">
        <v>126</v>
      </c>
      <c r="P105" s="15">
        <f>VLOOKUP($A105,'Список товаров'!A:K,11,0)*D105/1000</f>
        <v>0.44</v>
      </c>
      <c r="Q105" s="4">
        <f>IFERROR((P105/SUMIFS(P:P,O:O,O105)*SUMIFS('BUYER доставка'!L:L,'BUYER доставка'!A:A,O105))/D105,"")</f>
        <v>77.813143712574856</v>
      </c>
      <c r="R105" s="5">
        <f t="shared" si="5"/>
        <v>660.61814371257492</v>
      </c>
    </row>
    <row r="106" spans="1:18" x14ac:dyDescent="0.3">
      <c r="A106" s="15" t="s">
        <v>170</v>
      </c>
      <c r="B106" t="str">
        <f>VLOOKUP($A106,'Список товаров'!A:E,5,0)</f>
        <v>Сборная модель Dodge Challenger Hellcat 1:36 Зеленая</v>
      </c>
      <c r="C106" s="1">
        <v>45748</v>
      </c>
      <c r="D106">
        <v>2</v>
      </c>
      <c r="E106">
        <v>2</v>
      </c>
      <c r="G106" t="b">
        <f>Таблица8[[#This Row],[Количество]]=Таблица8[[#This Row],[Принято]]+Таблица8[[#This Row],[Брак]]</f>
        <v>1</v>
      </c>
      <c r="H106" s="11">
        <v>50</v>
      </c>
      <c r="I106" s="11">
        <f>Таблица8[[#This Row],[Количество]]*Таблица8[[#This Row],[Цена покупки CNY за единицу]]</f>
        <v>100</v>
      </c>
      <c r="J106" s="57">
        <f>SUMIFS(Курсы_валют!E:E,Курсы_валют!B:B,"CNY")+0.3</f>
        <v>11.6561</v>
      </c>
      <c r="L106" s="57">
        <f>SUMIFS(Курсы_валют!E:E,Курсы_валют!B:B,"USD")</f>
        <v>81.225700000000003</v>
      </c>
      <c r="M106" s="3">
        <f>L106*K106+(Таблица8[[#This Row],[Цена покупки CNY]]*Таблица8[[#This Row],[Курс CNY]])</f>
        <v>1165.6100000000001</v>
      </c>
      <c r="N106" s="3">
        <f t="shared" si="7"/>
        <v>582.80500000000006</v>
      </c>
      <c r="O106" s="10" t="s">
        <v>126</v>
      </c>
      <c r="P106" s="15">
        <f>VLOOKUP($A106,'Список товаров'!A:K,11,0)*D106/1000</f>
        <v>0.44</v>
      </c>
      <c r="Q106" s="4">
        <f>IFERROR((P106/SUMIFS(P:P,O:O,O106)*SUMIFS('BUYER доставка'!L:L,'BUYER доставка'!A:A,O106))/D106,"")</f>
        <v>77.813143712574856</v>
      </c>
      <c r="R106" s="5">
        <f t="shared" si="5"/>
        <v>660.61814371257492</v>
      </c>
    </row>
    <row r="107" spans="1:18" x14ac:dyDescent="0.3">
      <c r="A107" s="15" t="s">
        <v>173</v>
      </c>
      <c r="B107" t="str">
        <f>VLOOKUP($A107,'Список товаров'!A:E,5,0)</f>
        <v>Сборная модель Dodge Challenger Hellcat 1:36 Красная</v>
      </c>
      <c r="C107" s="1">
        <v>45748</v>
      </c>
      <c r="D107">
        <v>5</v>
      </c>
      <c r="E107">
        <v>2</v>
      </c>
      <c r="G107" t="b">
        <f>Таблица8[[#This Row],[Количество]]=Таблица8[[#This Row],[Принято]]+Таблица8[[#This Row],[Брак]]</f>
        <v>0</v>
      </c>
      <c r="H107" s="11">
        <v>50</v>
      </c>
      <c r="I107" s="11">
        <f>Таблица8[[#This Row],[Количество]]*Таблица8[[#This Row],[Цена покупки CNY за единицу]]</f>
        <v>250</v>
      </c>
      <c r="J107" s="57">
        <f>SUMIFS(Курсы_валют!E:E,Курсы_валют!B:B,"CNY")+0.3</f>
        <v>11.6561</v>
      </c>
      <c r="L107" s="57">
        <f>SUMIFS(Курсы_валют!E:E,Курсы_валют!B:B,"USD")</f>
        <v>81.225700000000003</v>
      </c>
      <c r="M107" s="3">
        <f>L107*K107+(Таблица8[[#This Row],[Цена покупки CNY]]*Таблица8[[#This Row],[Курс CNY]])</f>
        <v>2914.0250000000001</v>
      </c>
      <c r="N107" s="3">
        <f t="shared" si="7"/>
        <v>582.80500000000006</v>
      </c>
      <c r="O107" s="10" t="s">
        <v>126</v>
      </c>
      <c r="P107" s="15">
        <f>VLOOKUP($A107,'Список товаров'!A:K,11,0)*D107/1000</f>
        <v>1.1000000000000001</v>
      </c>
      <c r="Q107" s="4">
        <f>IFERROR((P107/SUMIFS(P:P,O:O,O107)*SUMIFS('BUYER доставка'!L:L,'BUYER доставка'!A:A,O107))/D107,"")</f>
        <v>77.81314371257487</v>
      </c>
      <c r="R107" s="5">
        <f t="shared" si="5"/>
        <v>660.61814371257492</v>
      </c>
    </row>
    <row r="108" spans="1:18" x14ac:dyDescent="0.3">
      <c r="A108" s="15" t="s">
        <v>160</v>
      </c>
      <c r="B108" t="str">
        <f>VLOOKUP($A108,'Список товаров'!A:E,5,0)</f>
        <v>Игрушка контейнер грузовой серый</v>
      </c>
      <c r="C108" s="1">
        <v>45772</v>
      </c>
      <c r="D108">
        <v>5</v>
      </c>
      <c r="E108">
        <v>5</v>
      </c>
      <c r="G108" t="b">
        <f>Таблица8[[#This Row],[Количество]]=Таблица8[[#This Row],[Принято]]+Таблица8[[#This Row],[Брак]]</f>
        <v>1</v>
      </c>
      <c r="H108" s="11">
        <v>19</v>
      </c>
      <c r="I108" s="11">
        <f>Таблица8[[#This Row],[Количество]]*Таблица8[[#This Row],[Цена покупки CNY за единицу]]</f>
        <v>95</v>
      </c>
      <c r="J108" s="57">
        <f>SUMIFS(Курсы_валют!E:E,Курсы_валют!B:B,"CNY")+0.3</f>
        <v>11.6561</v>
      </c>
      <c r="L108" s="57">
        <f>SUMIFS(Курсы_валют!E:E,Курсы_валют!B:B,"USD")</f>
        <v>81.225700000000003</v>
      </c>
      <c r="M108" s="3">
        <f>L108*K108+(Таблица8[[#This Row],[Цена покупки CNY]]*Таблица8[[#This Row],[Курс CNY]])</f>
        <v>1107.3295000000001</v>
      </c>
      <c r="N108" s="3">
        <f t="shared" si="7"/>
        <v>221.4659</v>
      </c>
      <c r="O108" s="16" t="s">
        <v>358</v>
      </c>
      <c r="P108" s="15">
        <f>VLOOKUP($A108,'Список товаров'!A:K,11,0)*D108/1000</f>
        <v>1.25</v>
      </c>
      <c r="Q108" s="4">
        <f>IFERROR((P108/SUMIFS(P:P,O:O,O108)*SUMIFS('BUYER доставка'!L:L,'BUYER доставка'!A:A,O108))/D108,"")</f>
        <v>88.25837320574162</v>
      </c>
      <c r="R108" s="5">
        <f t="shared" si="5"/>
        <v>309.72427320574161</v>
      </c>
    </row>
    <row r="109" spans="1:18" x14ac:dyDescent="0.3">
      <c r="A109" s="15" t="s">
        <v>134</v>
      </c>
      <c r="B109" t="str">
        <f>VLOOKUP($A109,'Список товаров'!A:E,5,0)</f>
        <v>Металлическая модель грузовика Мерседес серо-голубой с прицепом, иннерционная, 31см, звук и свет</v>
      </c>
      <c r="C109" s="1">
        <v>45772</v>
      </c>
      <c r="D109">
        <v>5</v>
      </c>
      <c r="E109">
        <v>5</v>
      </c>
      <c r="G109" t="b">
        <f>Таблица8[[#This Row],[Количество]]=Таблица8[[#This Row],[Принято]]+Таблица8[[#This Row],[Брак]]</f>
        <v>1</v>
      </c>
      <c r="H109" s="11">
        <v>33.5</v>
      </c>
      <c r="I109" s="11">
        <f>Таблица8[[#This Row],[Количество]]*Таблица8[[#This Row],[Цена покупки CNY за единицу]]</f>
        <v>167.5</v>
      </c>
      <c r="J109" s="57">
        <f>SUMIFS(Курсы_валют!E:E,Курсы_валют!B:B,"CNY")+0.3</f>
        <v>11.6561</v>
      </c>
      <c r="L109" s="57">
        <f>SUMIFS(Курсы_валют!E:E,Курсы_валют!B:B,"USD")</f>
        <v>81.225700000000003</v>
      </c>
      <c r="M109" s="3">
        <f>L109*K109+(Таблица8[[#This Row],[Цена покупки CNY]]*Таблица8[[#This Row],[Курс CNY]])</f>
        <v>1952.3967500000001</v>
      </c>
      <c r="N109" s="3">
        <f t="shared" si="7"/>
        <v>390.47935000000001</v>
      </c>
      <c r="O109" s="16" t="s">
        <v>358</v>
      </c>
      <c r="P109" s="15">
        <f>VLOOKUP($A109,'Список товаров'!A:K,11,0)*D109/1000</f>
        <v>2.5</v>
      </c>
      <c r="Q109" s="4">
        <f>IFERROR((P109/SUMIFS(P:P,O:O,O109)*SUMIFS('BUYER доставка'!L:L,'BUYER доставка'!A:A,O109))/D109,"")</f>
        <v>176.51674641148324</v>
      </c>
      <c r="R109" s="5">
        <f t="shared" si="5"/>
        <v>566.99609641148322</v>
      </c>
    </row>
    <row r="110" spans="1:18" x14ac:dyDescent="0.3">
      <c r="A110" s="15" t="s">
        <v>159</v>
      </c>
      <c r="B110" t="str">
        <f>VLOOKUP($A110,'Список товаров'!A:E,5,0)</f>
        <v>Игрушка контейнер грузовой коричневый</v>
      </c>
      <c r="C110" s="1">
        <v>45772</v>
      </c>
      <c r="D110">
        <v>5</v>
      </c>
      <c r="E110">
        <v>5</v>
      </c>
      <c r="G110" t="b">
        <f>Таблица8[[#This Row],[Количество]]=Таблица8[[#This Row],[Принято]]+Таблица8[[#This Row],[Брак]]</f>
        <v>1</v>
      </c>
      <c r="H110" s="11">
        <v>19</v>
      </c>
      <c r="I110" s="11">
        <f>Таблица8[[#This Row],[Количество]]*Таблица8[[#This Row],[Цена покупки CNY за единицу]]</f>
        <v>95</v>
      </c>
      <c r="J110" s="57">
        <f>SUMIFS(Курсы_валют!E:E,Курсы_валют!B:B,"CNY")+0.3</f>
        <v>11.6561</v>
      </c>
      <c r="L110" s="57">
        <f>SUMIFS(Курсы_валют!E:E,Курсы_валют!B:B,"USD")</f>
        <v>81.225700000000003</v>
      </c>
      <c r="M110" s="3">
        <f>L110*K110+(Таблица8[[#This Row],[Цена покупки CNY]]*Таблица8[[#This Row],[Курс CNY]])</f>
        <v>1107.3295000000001</v>
      </c>
      <c r="N110" s="3">
        <f t="shared" si="7"/>
        <v>221.4659</v>
      </c>
      <c r="O110" s="16" t="s">
        <v>358</v>
      </c>
      <c r="P110" s="15">
        <f>VLOOKUP($A110,'Список товаров'!A:K,11,0)*D110/1000</f>
        <v>1.25</v>
      </c>
      <c r="Q110" s="4">
        <f>IFERROR((P110/SUMIFS(P:P,O:O,O110)*SUMIFS('BUYER доставка'!L:L,'BUYER доставка'!A:A,O110))/D110,"")</f>
        <v>88.25837320574162</v>
      </c>
      <c r="R110" s="5">
        <f t="shared" si="5"/>
        <v>309.72427320574161</v>
      </c>
    </row>
    <row r="111" spans="1:18" x14ac:dyDescent="0.3">
      <c r="A111" s="15" t="s">
        <v>151</v>
      </c>
      <c r="B111" t="str">
        <f>VLOOKUP($A111,'Список товаров'!A:E,5,0)</f>
        <v>Металлическая модель грузовика Мерседес бело-синий с прицепом, иннерционная, 31см, звук и свет</v>
      </c>
      <c r="C111" s="1">
        <v>45772</v>
      </c>
      <c r="D111">
        <v>5</v>
      </c>
      <c r="E111">
        <v>5</v>
      </c>
      <c r="G111" t="b">
        <f>Таблица8[[#This Row],[Количество]]=Таблица8[[#This Row],[Принято]]+Таблица8[[#This Row],[Брак]]</f>
        <v>1</v>
      </c>
      <c r="H111" s="11">
        <v>33.5</v>
      </c>
      <c r="I111" s="11">
        <f>Таблица8[[#This Row],[Количество]]*Таблица8[[#This Row],[Цена покупки CNY за единицу]]</f>
        <v>167.5</v>
      </c>
      <c r="J111" s="57">
        <f>SUMIFS(Курсы_валют!E:E,Курсы_валют!B:B,"CNY")+0.3</f>
        <v>11.6561</v>
      </c>
      <c r="L111" s="57">
        <f>SUMIFS(Курсы_валют!E:E,Курсы_валют!B:B,"USD")</f>
        <v>81.225700000000003</v>
      </c>
      <c r="M111" s="3">
        <f>L111*K111+(Таблица8[[#This Row],[Цена покупки CNY]]*Таблица8[[#This Row],[Курс CNY]])</f>
        <v>1952.3967500000001</v>
      </c>
      <c r="N111" s="3">
        <f t="shared" si="7"/>
        <v>390.47935000000001</v>
      </c>
      <c r="O111" s="16" t="s">
        <v>358</v>
      </c>
      <c r="P111" s="15">
        <f>VLOOKUP($A111,'Список товаров'!A:K,11,0)*D111/1000</f>
        <v>2.5</v>
      </c>
      <c r="Q111" s="4">
        <f>IFERROR((P111/SUMIFS(P:P,O:O,O111)*SUMIFS('BUYER доставка'!L:L,'BUYER доставка'!A:A,O111))/D111,"")</f>
        <v>176.51674641148324</v>
      </c>
      <c r="R111" s="5">
        <f t="shared" si="5"/>
        <v>566.99609641148322</v>
      </c>
    </row>
    <row r="112" spans="1:18" x14ac:dyDescent="0.3">
      <c r="A112" s="15" t="s">
        <v>148</v>
      </c>
      <c r="B112" t="str">
        <f>VLOOKUP($A112,'Список товаров'!A:E,5,0)</f>
        <v>Металлическая модель грузовика Мерседес черно-серый с прицепом, иннерционная, 31см, звук и свет</v>
      </c>
      <c r="C112" s="1">
        <v>45772</v>
      </c>
      <c r="D112">
        <v>5</v>
      </c>
      <c r="E112">
        <v>5</v>
      </c>
      <c r="G112" t="b">
        <f>Таблица8[[#This Row],[Количество]]=Таблица8[[#This Row],[Принято]]+Таблица8[[#This Row],[Брак]]</f>
        <v>1</v>
      </c>
      <c r="H112" s="11">
        <v>33.5</v>
      </c>
      <c r="I112" s="11">
        <f>Таблица8[[#This Row],[Количество]]*Таблица8[[#This Row],[Цена покупки CNY за единицу]]</f>
        <v>167.5</v>
      </c>
      <c r="J112" s="57">
        <f>SUMIFS(Курсы_валют!E:E,Курсы_валют!B:B,"CNY")+0.3</f>
        <v>11.6561</v>
      </c>
      <c r="L112" s="57">
        <f>SUMIFS(Курсы_валют!E:E,Курсы_валют!B:B,"USD")</f>
        <v>81.225700000000003</v>
      </c>
      <c r="M112" s="3">
        <f>L112*K112+(Таблица8[[#This Row],[Цена покупки CNY]]*Таблица8[[#This Row],[Курс CNY]])</f>
        <v>1952.3967500000001</v>
      </c>
      <c r="N112" s="3">
        <f t="shared" si="7"/>
        <v>390.47935000000001</v>
      </c>
      <c r="O112" s="16" t="s">
        <v>358</v>
      </c>
      <c r="P112" s="15">
        <f>VLOOKUP($A112,'Список товаров'!A:K,11,0)*D112/1000</f>
        <v>2.5</v>
      </c>
      <c r="Q112" s="4">
        <f>IFERROR((P112/SUMIFS(P:P,O:O,O112)*SUMIFS('BUYER доставка'!L:L,'BUYER доставка'!A:A,O112))/D112,"")</f>
        <v>176.51674641148324</v>
      </c>
      <c r="R112" s="5">
        <f t="shared" si="5"/>
        <v>566.99609641148322</v>
      </c>
    </row>
    <row r="113" spans="1:18" x14ac:dyDescent="0.3">
      <c r="A113" s="15" t="s">
        <v>140</v>
      </c>
      <c r="B113" t="str">
        <f>VLOOKUP($A113,'Список товаров'!A:E,5,0)</f>
        <v>Металлическая модель грузовика Мерседес бело-коричневый с прицепом, иннерционная, 31см, звук и свет</v>
      </c>
      <c r="C113" s="1">
        <v>45772</v>
      </c>
      <c r="D113">
        <v>3</v>
      </c>
      <c r="E113">
        <v>3</v>
      </c>
      <c r="G113" t="b">
        <f>Таблица8[[#This Row],[Количество]]=Таблица8[[#This Row],[Принято]]+Таблица8[[#This Row],[Брак]]</f>
        <v>1</v>
      </c>
      <c r="H113" s="11">
        <v>30</v>
      </c>
      <c r="I113" s="11">
        <f>Таблица8[[#This Row],[Количество]]*Таблица8[[#This Row],[Цена покупки CNY за единицу]]</f>
        <v>90</v>
      </c>
      <c r="J113" s="57">
        <f>SUMIFS(Курсы_валют!E:E,Курсы_валют!B:B,"CNY")+0.3</f>
        <v>11.6561</v>
      </c>
      <c r="L113" s="57">
        <f>SUMIFS(Курсы_валют!E:E,Курсы_валют!B:B,"USD")</f>
        <v>81.225700000000003</v>
      </c>
      <c r="M113" s="3">
        <f>L113*K113+(Таблица8[[#This Row],[Цена покупки CNY]]*Таблица8[[#This Row],[Курс CNY]])</f>
        <v>1049.049</v>
      </c>
      <c r="N113" s="3">
        <f t="shared" si="7"/>
        <v>349.68299999999999</v>
      </c>
      <c r="O113" s="16" t="s">
        <v>358</v>
      </c>
      <c r="P113" s="15">
        <f>VLOOKUP($A113,'Список товаров'!A:K,11,0)*D113/1000</f>
        <v>1.5</v>
      </c>
      <c r="Q113" s="4">
        <f>IFERROR((P113/SUMIFS(P:P,O:O,O113)*SUMIFS('BUYER доставка'!L:L,'BUYER доставка'!A:A,O113))/D113,"")</f>
        <v>176.51674641148327</v>
      </c>
      <c r="R113" s="5">
        <f t="shared" si="5"/>
        <v>526.19974641148326</v>
      </c>
    </row>
    <row r="114" spans="1:18" x14ac:dyDescent="0.3">
      <c r="A114" s="15" t="s">
        <v>146</v>
      </c>
      <c r="B114" t="str">
        <f>VLOOKUP($A114,'Список товаров'!A:E,5,0)</f>
        <v>Металлическая модель грузовика Мерседес бело-серый с прицепом, иннерционная, 31см, звук и свет</v>
      </c>
      <c r="C114" s="1">
        <v>45772</v>
      </c>
      <c r="D114">
        <v>5</v>
      </c>
      <c r="E114">
        <v>5</v>
      </c>
      <c r="G114" t="b">
        <f>Таблица8[[#This Row],[Количество]]=Таблица8[[#This Row],[Принято]]+Таблица8[[#This Row],[Брак]]</f>
        <v>1</v>
      </c>
      <c r="H114" s="11">
        <v>33.5</v>
      </c>
      <c r="I114" s="11">
        <f>Таблица8[[#This Row],[Количество]]*Таблица8[[#This Row],[Цена покупки CNY за единицу]]</f>
        <v>167.5</v>
      </c>
      <c r="J114" s="57">
        <f>SUMIFS(Курсы_валют!E:E,Курсы_валют!B:B,"CNY")+0.3</f>
        <v>11.6561</v>
      </c>
      <c r="L114" s="57">
        <f>SUMIFS(Курсы_валют!E:E,Курсы_валют!B:B,"USD")</f>
        <v>81.225700000000003</v>
      </c>
      <c r="M114" s="3">
        <f>L114*K114+(Таблица8[[#This Row],[Цена покупки CNY]]*Таблица8[[#This Row],[Курс CNY]])</f>
        <v>1952.3967500000001</v>
      </c>
      <c r="N114" s="3">
        <f t="shared" si="7"/>
        <v>390.47935000000001</v>
      </c>
      <c r="O114" s="16" t="s">
        <v>358</v>
      </c>
      <c r="P114" s="15">
        <f>VLOOKUP($A114,'Список товаров'!A:K,11,0)*D114/1000</f>
        <v>2.5</v>
      </c>
      <c r="Q114" s="4">
        <f>IFERROR((P114/SUMIFS(P:P,O:O,O114)*SUMIFS('BUYER доставка'!L:L,'BUYER доставка'!A:A,O114))/D114,"")</f>
        <v>176.51674641148324</v>
      </c>
      <c r="R114" s="5">
        <f t="shared" si="5"/>
        <v>566.99609641148322</v>
      </c>
    </row>
    <row r="115" spans="1:18" x14ac:dyDescent="0.3">
      <c r="A115" s="15" t="s">
        <v>143</v>
      </c>
      <c r="B115" t="str">
        <f>VLOOKUP($A115,'Список товаров'!A:E,5,0)</f>
        <v>Металлическая модель автовоза черная, инерционная, 41 см</v>
      </c>
      <c r="C115" s="1">
        <v>45772</v>
      </c>
      <c r="D115">
        <v>3</v>
      </c>
      <c r="E115">
        <v>3</v>
      </c>
      <c r="G115" t="b">
        <f>Таблица8[[#This Row],[Количество]]=Таблица8[[#This Row],[Принято]]+Таблица8[[#This Row],[Брак]]</f>
        <v>1</v>
      </c>
      <c r="H115" s="11">
        <v>33.5</v>
      </c>
      <c r="I115" s="11">
        <f>Таблица8[[#This Row],[Количество]]*Таблица8[[#This Row],[Цена покупки CNY за единицу]]</f>
        <v>100.5</v>
      </c>
      <c r="J115" s="57">
        <f>SUMIFS(Курсы_валют!E:E,Курсы_валют!B:B,"CNY")+0.3</f>
        <v>11.6561</v>
      </c>
      <c r="L115" s="57">
        <f>SUMIFS(Курсы_валют!E:E,Курсы_валют!B:B,"USD")</f>
        <v>81.225700000000003</v>
      </c>
      <c r="M115" s="3">
        <f>L115*K115+(Таблица8[[#This Row],[Цена покупки CNY]]*Таблица8[[#This Row],[Курс CNY]])</f>
        <v>1171.43805</v>
      </c>
      <c r="N115" s="3">
        <f t="shared" si="7"/>
        <v>390.47935000000001</v>
      </c>
      <c r="O115" s="16" t="s">
        <v>358</v>
      </c>
      <c r="P115" s="15">
        <f>VLOOKUP($A115,'Список товаров'!A:K,11,0)*D115/1000</f>
        <v>1.5</v>
      </c>
      <c r="Q115" s="4">
        <f>IFERROR((P115/SUMIFS(P:P,O:O,O115)*SUMIFS('BUYER доставка'!L:L,'BUYER доставка'!A:A,O115))/D115,"")</f>
        <v>176.51674641148327</v>
      </c>
      <c r="R115" s="5">
        <f t="shared" si="5"/>
        <v>566.99609641148322</v>
      </c>
    </row>
    <row r="116" spans="1:18" x14ac:dyDescent="0.3">
      <c r="A116" s="15" t="s">
        <v>156</v>
      </c>
      <c r="B116" t="str">
        <f>VLOOKUP($A116,'Список товаров'!A:E,5,0)</f>
        <v>Игрушка контейнер грузовой желтый</v>
      </c>
      <c r="C116" s="1">
        <v>45772</v>
      </c>
      <c r="D116">
        <v>3</v>
      </c>
      <c r="E116">
        <v>3</v>
      </c>
      <c r="G116" t="b">
        <f>Таблица8[[#This Row],[Количество]]=Таблица8[[#This Row],[Принято]]+Таблица8[[#This Row],[Брак]]</f>
        <v>1</v>
      </c>
      <c r="H116" s="11">
        <v>19</v>
      </c>
      <c r="I116" s="11">
        <f>Таблица8[[#This Row],[Количество]]*Таблица8[[#This Row],[Цена покупки CNY за единицу]]</f>
        <v>57</v>
      </c>
      <c r="J116" s="57">
        <f>SUMIFS(Курсы_валют!E:E,Курсы_валют!B:B,"CNY")+0.3</f>
        <v>11.6561</v>
      </c>
      <c r="L116" s="57">
        <f>SUMIFS(Курсы_валют!E:E,Курсы_валют!B:B,"USD")</f>
        <v>81.225700000000003</v>
      </c>
      <c r="M116" s="3">
        <f>L116*K116+(Таблица8[[#This Row],[Цена покупки CNY]]*Таблица8[[#This Row],[Курс CNY]])</f>
        <v>664.39769999999999</v>
      </c>
      <c r="N116" s="3">
        <f t="shared" si="7"/>
        <v>221.4659</v>
      </c>
      <c r="O116" s="16" t="s">
        <v>358</v>
      </c>
      <c r="P116" s="15">
        <f>VLOOKUP($A116,'Список товаров'!A:K,11,0)*D116/1000</f>
        <v>0.75</v>
      </c>
      <c r="Q116" s="4">
        <f>IFERROR((P116/SUMIFS(P:P,O:O,O116)*SUMIFS('BUYER доставка'!L:L,'BUYER доставка'!A:A,O116))/D116,"")</f>
        <v>88.258373205741634</v>
      </c>
      <c r="R116" s="5">
        <f t="shared" si="5"/>
        <v>309.72427320574161</v>
      </c>
    </row>
    <row r="117" spans="1:18" x14ac:dyDescent="0.3">
      <c r="A117" s="15" t="s">
        <v>385</v>
      </c>
      <c r="B117" t="str">
        <f>VLOOKUP($A117,'Список товаров'!A:E,5,0)</f>
        <v>SSD SATA 1 TB CEAMERE Внешний</v>
      </c>
      <c r="C117" s="1">
        <v>45772</v>
      </c>
      <c r="D117">
        <v>10</v>
      </c>
      <c r="E117">
        <v>10</v>
      </c>
      <c r="G117" t="b">
        <f>Таблица8[[#This Row],[Количество]]=Таблица8[[#This Row],[Принято]]+Таблица8[[#This Row],[Брак]]</f>
        <v>1</v>
      </c>
      <c r="H117" s="11">
        <v>294</v>
      </c>
      <c r="I117" s="11">
        <f>Таблица8[[#This Row],[Количество]]*Таблица8[[#This Row],[Цена покупки CNY за единицу]]</f>
        <v>2940</v>
      </c>
      <c r="J117" s="57">
        <f>SUMIFS(Курсы_валют!E:E,Курсы_валют!B:B,"CNY")+0.3</f>
        <v>11.6561</v>
      </c>
      <c r="L117" s="57">
        <f>SUMIFS(Курсы_валют!E:E,Курсы_валют!B:B,"USD")</f>
        <v>81.225700000000003</v>
      </c>
      <c r="M117" s="3">
        <f>L117*K117+(Таблица8[[#This Row],[Цена покупки CNY]]*Таблица8[[#This Row],[Курс CNY]])</f>
        <v>34268.934000000001</v>
      </c>
      <c r="N117" s="3">
        <f t="shared" si="7"/>
        <v>3426.8933999999999</v>
      </c>
      <c r="O117" s="16" t="s">
        <v>357</v>
      </c>
      <c r="P117" s="15">
        <f>VLOOKUP($A117,'Список товаров'!A:K,11,0)*D117/1000</f>
        <v>1</v>
      </c>
      <c r="Q117" s="4">
        <f>IFERROR((P117/SUMIFS(P:P,O:O,O117)*SUMIFS('BUYER доставка'!L:L,'BUYER доставка'!A:A,O117))/D117,"")</f>
        <v>151.35558112773302</v>
      </c>
      <c r="R117" s="5">
        <f t="shared" si="5"/>
        <v>3578.2489811277328</v>
      </c>
    </row>
    <row r="118" spans="1:18" x14ac:dyDescent="0.3">
      <c r="A118" s="15" t="s">
        <v>384</v>
      </c>
      <c r="B118" t="str">
        <f>VLOOKUP($A118,'Список товаров'!A:E,5,0)</f>
        <v>SSD SATA 512 GB CEAMERE Внешний</v>
      </c>
      <c r="C118" s="1">
        <v>45772</v>
      </c>
      <c r="D118">
        <v>10</v>
      </c>
      <c r="E118">
        <v>10</v>
      </c>
      <c r="G118" t="b">
        <f>Таблица8[[#This Row],[Количество]]=Таблица8[[#This Row],[Принято]]+Таблица8[[#This Row],[Брак]]</f>
        <v>1</v>
      </c>
      <c r="H118" s="11">
        <v>145</v>
      </c>
      <c r="I118" s="11">
        <f>Таблица8[[#This Row],[Количество]]*Таблица8[[#This Row],[Цена покупки CNY за единицу]]</f>
        <v>1450</v>
      </c>
      <c r="J118" s="57">
        <f>SUMIFS(Курсы_валют!E:E,Курсы_валют!B:B,"CNY")+0.3</f>
        <v>11.6561</v>
      </c>
      <c r="L118" s="57">
        <f>SUMIFS(Курсы_валют!E:E,Курсы_валют!B:B,"USD")</f>
        <v>81.225700000000003</v>
      </c>
      <c r="M118" s="3">
        <f>L118*K118+(Таблица8[[#This Row],[Цена покупки CNY]]*Таблица8[[#This Row],[Курс CNY]])</f>
        <v>16901.345000000001</v>
      </c>
      <c r="N118" s="3">
        <f t="shared" si="7"/>
        <v>1690.1345000000001</v>
      </c>
      <c r="O118" s="16" t="s">
        <v>357</v>
      </c>
      <c r="P118" s="15">
        <f>VLOOKUP($A118,'Список товаров'!A:K,11,0)*D118/1000</f>
        <v>1</v>
      </c>
      <c r="Q118" s="4">
        <f>IFERROR((P118/SUMIFS(P:P,O:O,O118)*SUMIFS('BUYER доставка'!L:L,'BUYER доставка'!A:A,O118))/D118,"")</f>
        <v>151.35558112773302</v>
      </c>
      <c r="R118" s="5">
        <f t="shared" si="5"/>
        <v>1841.4900811277332</v>
      </c>
    </row>
    <row r="119" spans="1:18" x14ac:dyDescent="0.3">
      <c r="A119" s="15" t="s">
        <v>381</v>
      </c>
      <c r="B119" t="str">
        <f>VLOOKUP($A119,'Список товаров'!A:E,5,0)</f>
        <v>SSD SATA 128 GB CEAMERE Внешний</v>
      </c>
      <c r="C119" s="1">
        <v>45772</v>
      </c>
      <c r="D119">
        <v>10</v>
      </c>
      <c r="E119">
        <v>10</v>
      </c>
      <c r="G119" t="b">
        <f>Таблица8[[#This Row],[Количество]]=Таблица8[[#This Row],[Принято]]+Таблица8[[#This Row],[Брак]]</f>
        <v>1</v>
      </c>
      <c r="H119" s="11">
        <v>47</v>
      </c>
      <c r="I119" s="11">
        <f>Таблица8[[#This Row],[Количество]]*Таблица8[[#This Row],[Цена покупки CNY за единицу]]</f>
        <v>470</v>
      </c>
      <c r="J119" s="57">
        <f>SUMIFS(Курсы_валют!E:E,Курсы_валют!B:B,"CNY")+0.3</f>
        <v>11.6561</v>
      </c>
      <c r="L119" s="57">
        <f>SUMIFS(Курсы_валют!E:E,Курсы_валют!B:B,"USD")</f>
        <v>81.225700000000003</v>
      </c>
      <c r="M119" s="3">
        <f>L119*K119+(Таблица8[[#This Row],[Цена покупки CNY]]*Таблица8[[#This Row],[Курс CNY]])</f>
        <v>5478.3670000000002</v>
      </c>
      <c r="N119" s="3">
        <f t="shared" si="7"/>
        <v>547.83670000000006</v>
      </c>
      <c r="O119" s="16" t="s">
        <v>357</v>
      </c>
      <c r="P119" s="15">
        <f>VLOOKUP($A119,'Список товаров'!A:K,11,0)*D119/1000</f>
        <v>1</v>
      </c>
      <c r="Q119" s="4">
        <f>IFERROR((P119/SUMIFS(P:P,O:O,O119)*SUMIFS('BUYER доставка'!L:L,'BUYER доставка'!A:A,O119))/D119,"")</f>
        <v>151.35558112773302</v>
      </c>
      <c r="R119" s="5">
        <f t="shared" si="5"/>
        <v>699.19228112773305</v>
      </c>
    </row>
    <row r="120" spans="1:18" x14ac:dyDescent="0.3">
      <c r="A120" s="15" t="s">
        <v>386</v>
      </c>
      <c r="B120" t="str">
        <f>VLOOKUP($A120,'Список товаров'!A:E,5,0)</f>
        <v>SSD SATA 256 GB CEAMERE Внешний</v>
      </c>
      <c r="C120" s="1">
        <v>45772</v>
      </c>
      <c r="D120">
        <v>10</v>
      </c>
      <c r="E120">
        <v>10</v>
      </c>
      <c r="G120" t="b">
        <f>Таблица8[[#This Row],[Количество]]=Таблица8[[#This Row],[Принято]]+Таблица8[[#This Row],[Брак]]</f>
        <v>1</v>
      </c>
      <c r="H120" s="11">
        <v>75</v>
      </c>
      <c r="I120" s="11">
        <f>Таблица8[[#This Row],[Количество]]*Таблица8[[#This Row],[Цена покупки CNY за единицу]]</f>
        <v>750</v>
      </c>
      <c r="J120" s="57">
        <f>SUMIFS(Курсы_валют!E:E,Курсы_валют!B:B,"CNY")+0.3</f>
        <v>11.6561</v>
      </c>
      <c r="L120" s="57">
        <f>SUMIFS(Курсы_валют!E:E,Курсы_валют!B:B,"USD")</f>
        <v>81.225700000000003</v>
      </c>
      <c r="M120" s="3">
        <f>L120*K120+(Таблица8[[#This Row],[Цена покупки CNY]]*Таблица8[[#This Row],[Курс CNY]])</f>
        <v>8742.0750000000007</v>
      </c>
      <c r="N120" s="3">
        <f t="shared" si="7"/>
        <v>874.20749999999998</v>
      </c>
      <c r="O120" s="16" t="s">
        <v>357</v>
      </c>
      <c r="P120" s="15">
        <f>VLOOKUP($A120,'Список товаров'!A:K,11,0)*D120/1000</f>
        <v>1</v>
      </c>
      <c r="Q120" s="4">
        <f>IFERROR((P120/SUMIFS(P:P,O:O,O120)*SUMIFS('BUYER доставка'!L:L,'BUYER доставка'!A:A,O120))/D120,"")</f>
        <v>151.35558112773302</v>
      </c>
      <c r="R120" s="5">
        <f t="shared" si="5"/>
        <v>1025.5630811277331</v>
      </c>
    </row>
    <row r="121" spans="1:18" x14ac:dyDescent="0.3">
      <c r="A121" s="15" t="s">
        <v>142</v>
      </c>
      <c r="B121" t="str">
        <f>VLOOKUP($A121,'Список товаров'!A:E,5,0)</f>
        <v>Металлическая модель автобуса, свет, звук, инерционный белый Аэропорт экспресс2</v>
      </c>
      <c r="C121" s="1">
        <v>45772</v>
      </c>
      <c r="D121">
        <v>15</v>
      </c>
      <c r="E121">
        <v>15</v>
      </c>
      <c r="G121" t="b">
        <f>Таблица8[[#This Row],[Количество]]=Таблица8[[#This Row],[Принято]]+Таблица8[[#This Row],[Брак]]</f>
        <v>1</v>
      </c>
      <c r="H121" s="11">
        <v>47.5</v>
      </c>
      <c r="I121" s="11">
        <f>Таблица8[[#This Row],[Количество]]*Таблица8[[#This Row],[Цена покупки CNY за единицу]]</f>
        <v>712.5</v>
      </c>
      <c r="J121" s="57">
        <f>SUMIFS(Курсы_валют!E:E,Курсы_валют!B:B,"CNY")+0.3</f>
        <v>11.6561</v>
      </c>
      <c r="L121" s="57">
        <f>SUMIFS(Курсы_валют!E:E,Курсы_валют!B:B,"USD")</f>
        <v>81.225700000000003</v>
      </c>
      <c r="M121" s="3">
        <f>L121*K121+(Таблица8[[#This Row],[Цена покупки CNY]]*Таблица8[[#This Row],[Курс CNY]])</f>
        <v>8304.9712500000005</v>
      </c>
      <c r="N121" s="3">
        <f t="shared" si="7"/>
        <v>553.66475000000003</v>
      </c>
      <c r="O121" s="16" t="s">
        <v>358</v>
      </c>
      <c r="P121" s="15">
        <f>VLOOKUP($A121,'Список товаров'!A:K,11,0)*D121/1000</f>
        <v>6</v>
      </c>
      <c r="Q121" s="4">
        <f>IFERROR((P121/SUMIFS(P:P,O:O,O121)*SUMIFS('BUYER доставка'!L:L,'BUYER доставка'!A:A,O121))/D121,"")</f>
        <v>141.2133971291866</v>
      </c>
      <c r="R121" s="5">
        <f t="shared" si="5"/>
        <v>694.87814712918657</v>
      </c>
    </row>
    <row r="122" spans="1:18" x14ac:dyDescent="0.3">
      <c r="A122" s="15" t="s">
        <v>141</v>
      </c>
      <c r="B122" t="str">
        <f>VLOOKUP($A122,'Список товаров'!A:E,5,0)</f>
        <v>Металлическая модель автобуса, свет, звук, инерционный белый Аэропорт экспресс1</v>
      </c>
      <c r="C122" s="1">
        <v>45772</v>
      </c>
      <c r="D122">
        <v>15</v>
      </c>
      <c r="E122">
        <v>15</v>
      </c>
      <c r="G122" t="b">
        <f>Таблица8[[#This Row],[Количество]]=Таблица8[[#This Row],[Принято]]+Таблица8[[#This Row],[Брак]]</f>
        <v>1</v>
      </c>
      <c r="H122" s="11">
        <v>47.5</v>
      </c>
      <c r="I122" s="11">
        <f>Таблица8[[#This Row],[Количество]]*Таблица8[[#This Row],[Цена покупки CNY за единицу]]</f>
        <v>712.5</v>
      </c>
      <c r="J122" s="57">
        <f>SUMIFS(Курсы_валют!E:E,Курсы_валют!B:B,"CNY")+0.3</f>
        <v>11.6561</v>
      </c>
      <c r="L122" s="57">
        <f>SUMIFS(Курсы_валют!E:E,Курсы_валют!B:B,"USD")</f>
        <v>81.225700000000003</v>
      </c>
      <c r="M122" s="3">
        <f>L122*K122+(Таблица8[[#This Row],[Цена покупки CNY]]*Таблица8[[#This Row],[Курс CNY]])</f>
        <v>8304.9712500000005</v>
      </c>
      <c r="N122" s="3">
        <f t="shared" si="7"/>
        <v>553.66475000000003</v>
      </c>
      <c r="O122" s="16" t="s">
        <v>358</v>
      </c>
      <c r="P122" s="15">
        <f>VLOOKUP($A122,'Список товаров'!A:K,11,0)*D122/1000</f>
        <v>6</v>
      </c>
      <c r="Q122" s="4">
        <f>IFERROR((P122/SUMIFS(P:P,O:O,O122)*SUMIFS('BUYER доставка'!L:L,'BUYER доставка'!A:A,O122))/D122,"")</f>
        <v>141.2133971291866</v>
      </c>
      <c r="R122" s="5">
        <f t="shared" si="5"/>
        <v>694.87814712918657</v>
      </c>
    </row>
    <row r="123" spans="1:18" x14ac:dyDescent="0.3">
      <c r="A123" s="15" t="s">
        <v>138</v>
      </c>
      <c r="B123" t="str">
        <f>VLOOKUP($A123,'Список товаров'!A:E,5,0)</f>
        <v>Металлическая модель автобуса инерционная, белая</v>
      </c>
      <c r="C123" s="1">
        <v>45772</v>
      </c>
      <c r="D123">
        <v>15</v>
      </c>
      <c r="E123">
        <v>15</v>
      </c>
      <c r="G123" t="b">
        <f>Таблица8[[#This Row],[Количество]]=Таблица8[[#This Row],[Принято]]+Таблица8[[#This Row],[Брак]]</f>
        <v>1</v>
      </c>
      <c r="H123" s="11">
        <v>47.5</v>
      </c>
      <c r="I123" s="11">
        <f>Таблица8[[#This Row],[Количество]]*Таблица8[[#This Row],[Цена покупки CNY за единицу]]</f>
        <v>712.5</v>
      </c>
      <c r="J123" s="57">
        <f>SUMIFS(Курсы_валют!E:E,Курсы_валют!B:B,"CNY")+0.3</f>
        <v>11.6561</v>
      </c>
      <c r="L123" s="57">
        <f>SUMIFS(Курсы_валют!E:E,Курсы_валют!B:B,"USD")</f>
        <v>81.225700000000003</v>
      </c>
      <c r="M123" s="3">
        <f>L123*K123+(Таблица8[[#This Row],[Цена покупки CNY]]*Таблица8[[#This Row],[Курс CNY]])</f>
        <v>8304.9712500000005</v>
      </c>
      <c r="N123" s="3">
        <f t="shared" si="7"/>
        <v>553.66475000000003</v>
      </c>
      <c r="O123" s="16" t="s">
        <v>358</v>
      </c>
      <c r="P123" s="15">
        <f>VLOOKUP($A123,'Список товаров'!A:K,11,0)*D123/1000</f>
        <v>6</v>
      </c>
      <c r="Q123" s="4">
        <f>IFERROR((P123/SUMIFS(P:P,O:O,O123)*SUMIFS('BUYER доставка'!L:L,'BUYER доставка'!A:A,O123))/D123,"")</f>
        <v>141.2133971291866</v>
      </c>
      <c r="R123" s="5">
        <f t="shared" si="5"/>
        <v>694.87814712918657</v>
      </c>
    </row>
    <row r="124" spans="1:18" x14ac:dyDescent="0.3">
      <c r="A124" s="15" t="s">
        <v>137</v>
      </c>
      <c r="B124" t="str">
        <f>VLOOKUP($A124,'Список товаров'!A:E,5,0)</f>
        <v>Металлическая модель автобуса, свет, звук, инерционный синий</v>
      </c>
      <c r="C124" s="1">
        <v>45772</v>
      </c>
      <c r="D124">
        <v>15</v>
      </c>
      <c r="E124">
        <v>15</v>
      </c>
      <c r="G124" t="b">
        <f>Таблица8[[#This Row],[Количество]]=Таблица8[[#This Row],[Принято]]+Таблица8[[#This Row],[Брак]]</f>
        <v>1</v>
      </c>
      <c r="H124" s="11">
        <v>47.5</v>
      </c>
      <c r="I124" s="11">
        <f>Таблица8[[#This Row],[Количество]]*Таблица8[[#This Row],[Цена покупки CNY за единицу]]</f>
        <v>712.5</v>
      </c>
      <c r="J124" s="57">
        <f>SUMIFS(Курсы_валют!E:E,Курсы_валют!B:B,"CNY")+0.3</f>
        <v>11.6561</v>
      </c>
      <c r="L124" s="57">
        <f>SUMIFS(Курсы_валют!E:E,Курсы_валют!B:B,"USD")</f>
        <v>81.225700000000003</v>
      </c>
      <c r="M124" s="3">
        <f>L124*K124+(Таблица8[[#This Row],[Цена покупки CNY]]*Таблица8[[#This Row],[Курс CNY]])</f>
        <v>8304.9712500000005</v>
      </c>
      <c r="N124" s="3">
        <f t="shared" si="7"/>
        <v>553.66475000000003</v>
      </c>
      <c r="O124" s="16" t="s">
        <v>358</v>
      </c>
      <c r="P124" s="15">
        <f>VLOOKUP($A124,'Список товаров'!A:K,11,0)*D124/1000</f>
        <v>6</v>
      </c>
      <c r="Q124" s="4">
        <f>IFERROR((P124/SUMIFS(P:P,O:O,O124)*SUMIFS('BUYER доставка'!L:L,'BUYER доставка'!A:A,O124))/D124,"")</f>
        <v>141.2133971291866</v>
      </c>
      <c r="R124" s="5">
        <f t="shared" si="5"/>
        <v>694.87814712918657</v>
      </c>
    </row>
    <row r="125" spans="1:18" x14ac:dyDescent="0.3">
      <c r="A125" s="15" t="s">
        <v>136</v>
      </c>
      <c r="B125" t="str">
        <f>VLOOKUP($A125,'Список товаров'!A:E,5,0)</f>
        <v>Металлическая модель автобуса, свет, звук, инерционный красный</v>
      </c>
      <c r="C125" s="1">
        <v>45772</v>
      </c>
      <c r="D125">
        <v>15</v>
      </c>
      <c r="E125">
        <v>15</v>
      </c>
      <c r="G125" t="b">
        <f>Таблица8[[#This Row],[Количество]]=Таблица8[[#This Row],[Принято]]+Таблица8[[#This Row],[Брак]]</f>
        <v>1</v>
      </c>
      <c r="H125" s="11">
        <v>47.5</v>
      </c>
      <c r="I125" s="11">
        <f>Таблица8[[#This Row],[Количество]]*Таблица8[[#This Row],[Цена покупки CNY за единицу]]</f>
        <v>712.5</v>
      </c>
      <c r="J125" s="57">
        <f>SUMIFS(Курсы_валют!E:E,Курсы_валют!B:B,"CNY")+0.3</f>
        <v>11.6561</v>
      </c>
      <c r="L125" s="57">
        <f>SUMIFS(Курсы_валют!E:E,Курсы_валют!B:B,"USD")</f>
        <v>81.225700000000003</v>
      </c>
      <c r="M125" s="3">
        <f>L125*K125+(Таблица8[[#This Row],[Цена покупки CNY]]*Таблица8[[#This Row],[Курс CNY]])</f>
        <v>8304.9712500000005</v>
      </c>
      <c r="N125" s="3">
        <f t="shared" si="7"/>
        <v>553.66475000000003</v>
      </c>
      <c r="O125" s="16" t="s">
        <v>358</v>
      </c>
      <c r="P125" s="15">
        <f>VLOOKUP($A125,'Список товаров'!A:K,11,0)*D125/1000</f>
        <v>6</v>
      </c>
      <c r="Q125" s="4">
        <f>IFERROR((P125/SUMIFS(P:P,O:O,O125)*SUMIFS('BUYER доставка'!L:L,'BUYER доставка'!A:A,O125))/D125,"")</f>
        <v>141.2133971291866</v>
      </c>
      <c r="R125" s="5">
        <f t="shared" si="5"/>
        <v>694.87814712918657</v>
      </c>
    </row>
    <row r="126" spans="1:18" x14ac:dyDescent="0.3">
      <c r="A126" s="15" t="s">
        <v>135</v>
      </c>
      <c r="B126" t="str">
        <f>VLOOKUP($A126,'Список товаров'!A:E,5,0)</f>
        <v>Металлическая модель автобуса, свет, звук, инерционный бежевый</v>
      </c>
      <c r="C126" s="1">
        <v>45772</v>
      </c>
      <c r="D126">
        <v>15</v>
      </c>
      <c r="E126">
        <v>15</v>
      </c>
      <c r="G126" t="b">
        <f>Таблица8[[#This Row],[Количество]]=Таблица8[[#This Row],[Принято]]+Таблица8[[#This Row],[Брак]]</f>
        <v>1</v>
      </c>
      <c r="H126" s="11">
        <v>47.5</v>
      </c>
      <c r="I126" s="11">
        <f>Таблица8[[#This Row],[Количество]]*Таблица8[[#This Row],[Цена покупки CNY за единицу]]</f>
        <v>712.5</v>
      </c>
      <c r="J126" s="57">
        <f>SUMIFS(Курсы_валют!E:E,Курсы_валют!B:B,"CNY")+0.3</f>
        <v>11.6561</v>
      </c>
      <c r="L126" s="57">
        <f>SUMIFS(Курсы_валют!E:E,Курсы_валют!B:B,"USD")</f>
        <v>81.225700000000003</v>
      </c>
      <c r="M126" s="3">
        <f>L126*K126+(Таблица8[[#This Row],[Цена покупки CNY]]*Таблица8[[#This Row],[Курс CNY]])</f>
        <v>8304.9712500000005</v>
      </c>
      <c r="N126" s="3">
        <f t="shared" si="7"/>
        <v>553.66475000000003</v>
      </c>
      <c r="O126" s="16" t="s">
        <v>358</v>
      </c>
      <c r="P126" s="15">
        <f>VLOOKUP($A126,'Список товаров'!A:K,11,0)*D126/1000</f>
        <v>6</v>
      </c>
      <c r="Q126" s="4">
        <f>IFERROR((P126/SUMIFS(P:P,O:O,O126)*SUMIFS('BUYER доставка'!L:L,'BUYER доставка'!A:A,O126))/D126,"")</f>
        <v>141.2133971291866</v>
      </c>
      <c r="R126" s="5">
        <f t="shared" si="5"/>
        <v>694.87814712918657</v>
      </c>
    </row>
    <row r="127" spans="1:18" x14ac:dyDescent="0.3">
      <c r="A127" s="15" t="s">
        <v>373</v>
      </c>
      <c r="B127" t="str">
        <f>VLOOKUP($A127,'Список товаров'!A:E,5,0)</f>
        <v>SSD 1TB Внутренний COLORFUL CN600 PRO</v>
      </c>
      <c r="C127" s="1">
        <v>45772</v>
      </c>
      <c r="D127">
        <v>5</v>
      </c>
      <c r="E127">
        <v>5</v>
      </c>
      <c r="G127" t="b">
        <f>Таблица8[[#This Row],[Количество]]=Таблица8[[#This Row],[Принято]]+Таблица8[[#This Row],[Брак]]</f>
        <v>1</v>
      </c>
      <c r="H127" s="11">
        <v>355</v>
      </c>
      <c r="I127" s="11">
        <f>Таблица8[[#This Row],[Количество]]*Таблица8[[#This Row],[Цена покупки CNY за единицу]]</f>
        <v>1775</v>
      </c>
      <c r="J127" s="57">
        <f>SUMIFS(Курсы_валют!E:E,Курсы_валют!B:B,"CNY")+0.3</f>
        <v>11.6561</v>
      </c>
      <c r="L127" s="57">
        <f>SUMIFS(Курсы_валют!E:E,Курсы_валют!B:B,"USD")</f>
        <v>81.225700000000003</v>
      </c>
      <c r="M127" s="3">
        <f>L127*K127+(Таблица8[[#This Row],[Цена покупки CNY]]*Таблица8[[#This Row],[Курс CNY]])</f>
        <v>20689.577499999999</v>
      </c>
      <c r="N127" s="3">
        <f t="shared" si="7"/>
        <v>4137.9155000000001</v>
      </c>
      <c r="O127" s="16" t="s">
        <v>357</v>
      </c>
      <c r="P127" s="15">
        <f>VLOOKUP($A127,'Список товаров'!A:K,11,0)*D127/1000</f>
        <v>0.115</v>
      </c>
      <c r="Q127" s="4">
        <f>IFERROR((P127/SUMIFS(P:P,O:O,O127)*SUMIFS('BUYER доставка'!L:L,'BUYER доставка'!A:A,O127))/D127,"")</f>
        <v>34.811783659378598</v>
      </c>
      <c r="R127" s="5">
        <f t="shared" si="5"/>
        <v>4172.7272836593784</v>
      </c>
    </row>
    <row r="128" spans="1:18" x14ac:dyDescent="0.3">
      <c r="A128" s="15" t="s">
        <v>379</v>
      </c>
      <c r="B128" t="str">
        <f>VLOOKUP($A128,'Список товаров'!A:E,5,0)</f>
        <v>SSD 256GB Внутренний COLORFUL CN600</v>
      </c>
      <c r="C128" s="1">
        <v>45772</v>
      </c>
      <c r="D128">
        <v>5</v>
      </c>
      <c r="E128">
        <v>5</v>
      </c>
      <c r="G128" t="b">
        <f>Таблица8[[#This Row],[Количество]]=Таблица8[[#This Row],[Принято]]+Таблица8[[#This Row],[Брак]]</f>
        <v>1</v>
      </c>
      <c r="H128" s="11">
        <v>129</v>
      </c>
      <c r="I128" s="11">
        <f>Таблица8[[#This Row],[Количество]]*Таблица8[[#This Row],[Цена покупки CNY за единицу]]</f>
        <v>645</v>
      </c>
      <c r="J128" s="57">
        <f>SUMIFS(Курсы_валют!E:E,Курсы_валют!B:B,"CNY")+0.3</f>
        <v>11.6561</v>
      </c>
      <c r="L128" s="57">
        <f>SUMIFS(Курсы_валют!E:E,Курсы_валют!B:B,"USD")</f>
        <v>81.225700000000003</v>
      </c>
      <c r="M128" s="3">
        <f>L128*K128+(Таблица8[[#This Row],[Цена покупки CNY]]*Таблица8[[#This Row],[Курс CNY]])</f>
        <v>7518.1845000000003</v>
      </c>
      <c r="N128" s="3">
        <f t="shared" si="7"/>
        <v>1503.6369</v>
      </c>
      <c r="O128" s="16" t="s">
        <v>357</v>
      </c>
      <c r="P128" s="15">
        <f>VLOOKUP($A128,'Список товаров'!A:K,11,0)*D128/1000</f>
        <v>0.115</v>
      </c>
      <c r="Q128" s="4">
        <f>IFERROR((P128/SUMIFS(P:P,O:O,O128)*SUMIFS('BUYER доставка'!L:L,'BUYER доставка'!A:A,O128))/D128,"")</f>
        <v>34.811783659378598</v>
      </c>
      <c r="R128" s="5">
        <f t="shared" si="5"/>
        <v>1538.4486836593785</v>
      </c>
    </row>
    <row r="129" spans="1:18" x14ac:dyDescent="0.3">
      <c r="A129" s="15" t="s">
        <v>377</v>
      </c>
      <c r="B129" t="str">
        <f>VLOOKUP($A129,'Список товаров'!A:E,5,0)</f>
        <v>SSD 512GB Внутренний COLORFUL CN600 PRO</v>
      </c>
      <c r="C129" s="1">
        <v>45772</v>
      </c>
      <c r="D129">
        <v>5</v>
      </c>
      <c r="E129">
        <v>5</v>
      </c>
      <c r="G129" t="b">
        <f>Таблица8[[#This Row],[Количество]]=Таблица8[[#This Row],[Принято]]+Таблица8[[#This Row],[Брак]]</f>
        <v>1</v>
      </c>
      <c r="H129" s="11">
        <v>215</v>
      </c>
      <c r="I129" s="11">
        <f>Таблица8[[#This Row],[Количество]]*Таблица8[[#This Row],[Цена покупки CNY за единицу]]</f>
        <v>1075</v>
      </c>
      <c r="J129" s="57">
        <f>SUMIFS(Курсы_валют!E:E,Курсы_валют!B:B,"CNY")+0.3</f>
        <v>11.6561</v>
      </c>
      <c r="L129" s="57">
        <f>SUMIFS(Курсы_валют!E:E,Курсы_валют!B:B,"USD")</f>
        <v>81.225700000000003</v>
      </c>
      <c r="M129" s="3">
        <f>L129*K129+(Таблица8[[#This Row],[Цена покупки CNY]]*Таблица8[[#This Row],[Курс CNY]])</f>
        <v>12530.307500000001</v>
      </c>
      <c r="N129" s="3">
        <f t="shared" si="7"/>
        <v>2506.0615000000003</v>
      </c>
      <c r="O129" s="16" t="s">
        <v>357</v>
      </c>
      <c r="P129" s="15">
        <f>VLOOKUP($A129,'Список товаров'!A:K,11,0)*D129/1000</f>
        <v>0.115</v>
      </c>
      <c r="Q129" s="4">
        <f>IFERROR((P129/SUMIFS(P:P,O:O,O129)*SUMIFS('BUYER доставка'!L:L,'BUYER доставка'!A:A,O129))/D129,"")</f>
        <v>34.811783659378598</v>
      </c>
      <c r="R129" s="5">
        <f t="shared" si="5"/>
        <v>2540.873283659379</v>
      </c>
    </row>
    <row r="130" spans="1:18" x14ac:dyDescent="0.3">
      <c r="A130" s="15" t="s">
        <v>370</v>
      </c>
      <c r="B130" t="str">
        <f>VLOOKUP($A130,'Список товаров'!A:E,5,0)</f>
        <v>Игрушка контейнер грузовой синий</v>
      </c>
      <c r="C130" s="1">
        <v>45675</v>
      </c>
      <c r="D130">
        <v>15</v>
      </c>
      <c r="E130">
        <v>13</v>
      </c>
      <c r="F130">
        <v>2</v>
      </c>
      <c r="G130" t="b">
        <f>Таблица8[[#This Row],[Количество]]=Таблица8[[#This Row],[Принято]]+Таблица8[[#This Row],[Брак]]</f>
        <v>1</v>
      </c>
      <c r="H130" s="11">
        <v>19</v>
      </c>
      <c r="I130" s="11">
        <f>Таблица8[[#This Row],[Количество]]*Таблица8[[#This Row],[Цена покупки CNY за единицу]]</f>
        <v>285</v>
      </c>
      <c r="J130" s="57">
        <f>SUMIFS(Курсы_валют!E:E,Курсы_валют!B:B,"CNY")+0.3</f>
        <v>11.6561</v>
      </c>
      <c r="K130" s="2">
        <v>40.389817087034587</v>
      </c>
      <c r="L130" s="57">
        <f>SUMIFS(Курсы_валют!E:E,Курсы_валют!B:B,"USD")</f>
        <v>81.225700000000003</v>
      </c>
      <c r="M130" s="3">
        <f>L130*K130</f>
        <v>3280.6911657663454</v>
      </c>
      <c r="N130" s="3">
        <f t="shared" si="7"/>
        <v>221.4659</v>
      </c>
      <c r="O130" t="s">
        <v>25</v>
      </c>
      <c r="P130" s="15">
        <f>VLOOKUP($A130,'Список товаров'!A:K,11,0)*D130/1000</f>
        <v>3.75</v>
      </c>
      <c r="Q130" s="4">
        <f>IFERROR((P130/SUMIFS(P:P,O:O,O130)*SUMIFS('BUYER доставка'!L:L,'BUYER доставка'!A:A,O130))/D130,"")</f>
        <v>103.05030523716407</v>
      </c>
      <c r="R130" s="5">
        <f t="shared" si="5"/>
        <v>324.51620523716406</v>
      </c>
    </row>
    <row r="131" spans="1:18" x14ac:dyDescent="0.3">
      <c r="A131" s="15" t="s">
        <v>176</v>
      </c>
      <c r="B131" t="str">
        <f>VLOOKUP($A131,'Список товаров'!A:E,5,0)</f>
        <v>2-х этажный металлический автобус, синий</v>
      </c>
      <c r="C131" s="1">
        <v>45835</v>
      </c>
      <c r="D131">
        <v>10</v>
      </c>
      <c r="E131">
        <v>10</v>
      </c>
      <c r="G131" t="b">
        <f>Таблица8[[#This Row],[Количество]]=Таблица8[[#This Row],[Принято]]+Таблица8[[#This Row],[Брак]]</f>
        <v>1</v>
      </c>
      <c r="H131" s="11">
        <v>47.60884854980219</v>
      </c>
      <c r="I131" s="11">
        <f>Таблица8[[#This Row],[Количество]]*Таблица8[[#This Row],[Цена покупки CNY за единицу]]</f>
        <v>476.0884854980219</v>
      </c>
      <c r="J131" s="57">
        <f>SUMIFS(Курсы_валют!E:E,Курсы_валют!B:B,"CNY")+0.3</f>
        <v>11.6561</v>
      </c>
      <c r="L131" s="57">
        <f>SUMIFS(Курсы_валют!E:E,Курсы_валют!B:B,"USD")</f>
        <v>81.225700000000003</v>
      </c>
      <c r="M131" s="3">
        <f>L131*K131+(Таблица8[[#This Row],[Цена покупки CNY]]*Таблица8[[#This Row],[Курс CNY]])</f>
        <v>5549.3349958134932</v>
      </c>
      <c r="N131" s="3">
        <f t="shared" si="7"/>
        <v>554.93349958134934</v>
      </c>
      <c r="O131" t="s">
        <v>584</v>
      </c>
      <c r="P131" s="15">
        <f>VLOOKUP($A131,'Список товаров'!A:K,11,0)*D131/1000</f>
        <v>4</v>
      </c>
      <c r="Q131" s="4">
        <f>IFERROR((P131/SUMIFS(P:P,O:O,O131)*SUMIFS('BUYER доставка'!L:L,'BUYER доставка'!A:A,O131))/D131,"")</f>
        <v>137.22514642717687</v>
      </c>
      <c r="R131" s="5">
        <f t="shared" ref="R131:R194" si="8">IFERROR(N131+Q131,0)</f>
        <v>692.15864600852615</v>
      </c>
    </row>
    <row r="132" spans="1:18" x14ac:dyDescent="0.3">
      <c r="A132" s="15" t="s">
        <v>174</v>
      </c>
      <c r="B132" t="str">
        <f>VLOOKUP($A132,'Список товаров'!A:E,5,0)</f>
        <v>2-х этажный металлический автобус, белый</v>
      </c>
      <c r="C132" s="1">
        <v>45835</v>
      </c>
      <c r="D132">
        <v>5</v>
      </c>
      <c r="E132">
        <v>4</v>
      </c>
      <c r="F132">
        <v>1</v>
      </c>
      <c r="G132" t="b">
        <f>Таблица8[[#This Row],[Количество]]=Таблица8[[#This Row],[Принято]]+Таблица8[[#This Row],[Брак]]</f>
        <v>1</v>
      </c>
      <c r="H132" s="11">
        <v>47.60884854980219</v>
      </c>
      <c r="I132" s="11">
        <f>Таблица8[[#This Row],[Количество]]*Таблица8[[#This Row],[Цена покупки CNY за единицу]]</f>
        <v>238.04424274901095</v>
      </c>
      <c r="J132" s="57">
        <f>SUMIFS(Курсы_валют!E:E,Курсы_валют!B:B,"CNY")+0.3</f>
        <v>11.6561</v>
      </c>
      <c r="L132" s="57">
        <f>SUMIFS(Курсы_валют!E:E,Курсы_валют!B:B,"USD")</f>
        <v>81.225700000000003</v>
      </c>
      <c r="M132" s="3">
        <f>L132*K132+(Таблица8[[#This Row],[Цена покупки CNY]]*Таблица8[[#This Row],[Курс CNY]])</f>
        <v>2774.6674979067466</v>
      </c>
      <c r="N132" s="3">
        <f t="shared" si="7"/>
        <v>554.93349958134934</v>
      </c>
      <c r="O132" t="s">
        <v>584</v>
      </c>
      <c r="P132" s="15">
        <f>VLOOKUP($A132,'Список товаров'!A:K,11,0)*D132/1000</f>
        <v>2</v>
      </c>
      <c r="Q132" s="4">
        <f>IFERROR((P132/SUMIFS(P:P,O:O,O132)*SUMIFS('BUYER доставка'!L:L,'BUYER доставка'!A:A,O132))/D132,"")</f>
        <v>137.22514642717687</v>
      </c>
      <c r="R132" s="5">
        <f t="shared" si="8"/>
        <v>692.15864600852615</v>
      </c>
    </row>
    <row r="133" spans="1:18" x14ac:dyDescent="0.3">
      <c r="A133" s="15" t="s">
        <v>175</v>
      </c>
      <c r="B133" t="str">
        <f>VLOOKUP($A133,'Список товаров'!A:E,5,0)</f>
        <v>2-х этажный металлический автобус, красный</v>
      </c>
      <c r="C133" s="1">
        <v>45835</v>
      </c>
      <c r="D133">
        <v>5</v>
      </c>
      <c r="E133">
        <v>0</v>
      </c>
      <c r="F133">
        <v>5</v>
      </c>
      <c r="G133" t="b">
        <f>Таблица8[[#This Row],[Количество]]=Таблица8[[#This Row],[Принято]]+Таблица8[[#This Row],[Брак]]</f>
        <v>1</v>
      </c>
      <c r="H133" s="11">
        <v>60.3045414964161</v>
      </c>
      <c r="I133" s="11">
        <f>Таблица8[[#This Row],[Количество]]*Таблица8[[#This Row],[Цена покупки CNY за единицу]]</f>
        <v>301.52270748208048</v>
      </c>
      <c r="J133" s="57">
        <f>SUMIFS(Курсы_валют!E:E,Курсы_валют!B:B,"CNY")+0.3</f>
        <v>11.6561</v>
      </c>
      <c r="L133" s="57">
        <f>SUMIFS(Курсы_валют!E:E,Курсы_валют!B:B,"USD")</f>
        <v>81.225700000000003</v>
      </c>
      <c r="M133" s="3">
        <f>L133*K133+(Таблица8[[#This Row],[Цена покупки CNY]]*Таблица8[[#This Row],[Курс CNY]])</f>
        <v>3514.5788306818786</v>
      </c>
      <c r="N133" s="3">
        <f t="shared" si="7"/>
        <v>702.91576613637574</v>
      </c>
      <c r="O133" t="s">
        <v>584</v>
      </c>
      <c r="P133" s="15">
        <f>VLOOKUP($A133,'Список товаров'!A:K,11,0)*D133/1000</f>
        <v>2</v>
      </c>
      <c r="Q133" s="4">
        <f>IFERROR((P133/SUMIFS(P:P,O:O,O133)*SUMIFS('BUYER доставка'!L:L,'BUYER доставка'!A:A,O133))/D133,"")</f>
        <v>137.22514642717687</v>
      </c>
      <c r="R133" s="5">
        <f t="shared" si="8"/>
        <v>840.14091256355255</v>
      </c>
    </row>
    <row r="134" spans="1:18" x14ac:dyDescent="0.3">
      <c r="A134" s="15" t="s">
        <v>581</v>
      </c>
      <c r="B134" t="str">
        <f>VLOOKUP($A134,'Список товаров'!A:E,5,0)</f>
        <v>2-х этажный металлический автобус, бежевый</v>
      </c>
      <c r="C134" s="1">
        <v>45835</v>
      </c>
      <c r="D134">
        <v>5</v>
      </c>
      <c r="E134">
        <v>10</v>
      </c>
      <c r="G134" t="b">
        <f>Таблица8[[#This Row],[Количество]]=Таблица8[[#This Row],[Принято]]+Таблица8[[#This Row],[Брак]]</f>
        <v>0</v>
      </c>
      <c r="H134" s="11">
        <v>47.60884854980219</v>
      </c>
      <c r="I134" s="11">
        <f>Таблица8[[#This Row],[Количество]]*Таблица8[[#This Row],[Цена покупки CNY за единицу]]</f>
        <v>238.04424274901095</v>
      </c>
      <c r="J134" s="57">
        <f>SUMIFS(Курсы_валют!E:E,Курсы_валют!B:B,"CNY")+0.3</f>
        <v>11.6561</v>
      </c>
      <c r="L134" s="57">
        <f>SUMIFS(Курсы_валют!E:E,Курсы_валют!B:B,"USD")</f>
        <v>81.225700000000003</v>
      </c>
      <c r="M134" s="3">
        <f>L134*K134+(Таблица8[[#This Row],[Цена покупки CNY]]*Таблица8[[#This Row],[Курс CNY]])</f>
        <v>2774.6674979067466</v>
      </c>
      <c r="N134" s="3">
        <f t="shared" si="7"/>
        <v>554.93349958134934</v>
      </c>
      <c r="O134" t="s">
        <v>584</v>
      </c>
      <c r="P134" s="15">
        <f>VLOOKUP($A134,'Список товаров'!A:K,11,0)*D134/1000</f>
        <v>2</v>
      </c>
      <c r="Q134" s="4">
        <f>IFERROR((P134/SUMIFS(P:P,O:O,O134)*SUMIFS('BUYER доставка'!L:L,'BUYER доставка'!A:A,O134))/D134,"")</f>
        <v>137.22514642717687</v>
      </c>
      <c r="R134" s="5">
        <f t="shared" si="8"/>
        <v>692.15864600852615</v>
      </c>
    </row>
    <row r="135" spans="1:18" x14ac:dyDescent="0.3">
      <c r="A135" s="15" t="s">
        <v>135</v>
      </c>
      <c r="B135" t="str">
        <f>VLOOKUP($A135,'Список товаров'!A:E,5,0)</f>
        <v>Металлическая модель автобуса, свет, звук, инерционный бежевый</v>
      </c>
      <c r="C135" s="1">
        <v>45835</v>
      </c>
      <c r="D135">
        <v>10</v>
      </c>
      <c r="E135">
        <v>10</v>
      </c>
      <c r="G135" t="b">
        <f>Таблица8[[#This Row],[Количество]]=Таблица8[[#This Row],[Принято]]+Таблица8[[#This Row],[Брак]]</f>
        <v>1</v>
      </c>
      <c r="H135" s="11">
        <v>48.632694755174278</v>
      </c>
      <c r="I135" s="11">
        <f>Таблица8[[#This Row],[Количество]]*Таблица8[[#This Row],[Цена покупки CNY за единицу]]</f>
        <v>486.32694755174276</v>
      </c>
      <c r="J135" s="57">
        <f>SUMIFS(Курсы_валют!E:E,Курсы_валют!B:B,"CNY")+0.3</f>
        <v>11.6561</v>
      </c>
      <c r="L135" s="57">
        <f>SUMIFS(Курсы_валют!E:E,Курсы_валют!B:B,"USD")</f>
        <v>81.225700000000003</v>
      </c>
      <c r="M135" s="3">
        <f>L135*K135+(Таблица8[[#This Row],[Цена покупки CNY]]*Таблица8[[#This Row],[Курс CNY]])</f>
        <v>5668.6755333578694</v>
      </c>
      <c r="N135" s="3">
        <f t="shared" si="7"/>
        <v>566.86755333578697</v>
      </c>
      <c r="O135" t="s">
        <v>584</v>
      </c>
      <c r="P135" s="15">
        <f>VLOOKUP($A135,'Список товаров'!A:K,11,0)*D135/1000</f>
        <v>4</v>
      </c>
      <c r="Q135" s="4">
        <f>IFERROR((P135/SUMIFS(P:P,O:O,O135)*SUMIFS('BUYER доставка'!L:L,'BUYER доставка'!A:A,O135))/D135,"")</f>
        <v>137.22514642717687</v>
      </c>
      <c r="R135" s="5">
        <f t="shared" si="8"/>
        <v>704.09269976296378</v>
      </c>
    </row>
    <row r="136" spans="1:18" x14ac:dyDescent="0.3">
      <c r="A136" s="15" t="s">
        <v>137</v>
      </c>
      <c r="B136" t="str">
        <f>VLOOKUP($A136,'Список товаров'!A:E,5,0)</f>
        <v>Металлическая модель автобуса, свет, звук, инерционный синий</v>
      </c>
      <c r="C136" s="1">
        <v>45835</v>
      </c>
      <c r="D136">
        <v>45</v>
      </c>
      <c r="E136">
        <v>45</v>
      </c>
      <c r="G136" t="b">
        <f>Таблица8[[#This Row],[Количество]]=Таблица8[[#This Row],[Принято]]+Таблица8[[#This Row],[Брак]]</f>
        <v>1</v>
      </c>
      <c r="H136" s="11">
        <v>48.632694755174278</v>
      </c>
      <c r="I136" s="11">
        <f>Таблица8[[#This Row],[Количество]]*Таблица8[[#This Row],[Цена покупки CNY за единицу]]</f>
        <v>2188.4712639828426</v>
      </c>
      <c r="J136" s="57">
        <f>SUMIFS(Курсы_валют!E:E,Курсы_валют!B:B,"CNY")+0.3</f>
        <v>11.6561</v>
      </c>
      <c r="L136" s="57">
        <f>SUMIFS(Курсы_валют!E:E,Курсы_валют!B:B,"USD")</f>
        <v>81.225700000000003</v>
      </c>
      <c r="M136" s="3">
        <f>L136*K136+(Таблица8[[#This Row],[Цена покупки CNY]]*Таблица8[[#This Row],[Курс CNY]])</f>
        <v>25509.039900110412</v>
      </c>
      <c r="N136" s="3">
        <f t="shared" si="7"/>
        <v>566.86755333578697</v>
      </c>
      <c r="O136" t="s">
        <v>584</v>
      </c>
      <c r="P136" s="15">
        <f>VLOOKUP($A136,'Список товаров'!A:K,11,0)*D136/1000</f>
        <v>18</v>
      </c>
      <c r="Q136" s="4">
        <f>IFERROR((P136/SUMIFS(P:P,O:O,O136)*SUMIFS('BUYER доставка'!L:L,'BUYER доставка'!A:A,O136))/D136,"")</f>
        <v>137.22514642717687</v>
      </c>
      <c r="R136" s="5">
        <f t="shared" si="8"/>
        <v>704.09269976296378</v>
      </c>
    </row>
    <row r="137" spans="1:18" x14ac:dyDescent="0.3">
      <c r="A137" s="15" t="s">
        <v>136</v>
      </c>
      <c r="B137" t="str">
        <f>VLOOKUP($A137,'Список товаров'!A:E,5,0)</f>
        <v>Металлическая модель автобуса, свет, звук, инерционный красный</v>
      </c>
      <c r="C137" s="1">
        <v>45835</v>
      </c>
      <c r="D137">
        <v>5</v>
      </c>
      <c r="E137">
        <v>5</v>
      </c>
      <c r="G137" t="b">
        <f>Таблица8[[#This Row],[Количество]]=Таблица8[[#This Row],[Принято]]+Таблица8[[#This Row],[Брак]]</f>
        <v>1</v>
      </c>
      <c r="H137" s="11">
        <v>48.632694755174278</v>
      </c>
      <c r="I137" s="11">
        <f>Таблица8[[#This Row],[Количество]]*Таблица8[[#This Row],[Цена покупки CNY за единицу]]</f>
        <v>243.16347377587138</v>
      </c>
      <c r="J137" s="57">
        <f>SUMIFS(Курсы_валют!E:E,Курсы_валют!B:B,"CNY")+0.3</f>
        <v>11.6561</v>
      </c>
      <c r="L137" s="57">
        <f>SUMIFS(Курсы_валют!E:E,Курсы_валют!B:B,"USD")</f>
        <v>81.225700000000003</v>
      </c>
      <c r="M137" s="3">
        <f>L137*K137+(Таблица8[[#This Row],[Цена покупки CNY]]*Таблица8[[#This Row],[Курс CNY]])</f>
        <v>2834.3377666789347</v>
      </c>
      <c r="N137" s="3">
        <f t="shared" si="7"/>
        <v>566.86755333578697</v>
      </c>
      <c r="O137" t="s">
        <v>584</v>
      </c>
      <c r="P137" s="15">
        <f>VLOOKUP($A137,'Список товаров'!A:K,11,0)*D137/1000</f>
        <v>2</v>
      </c>
      <c r="Q137" s="4">
        <f>IFERROR((P137/SUMIFS(P:P,O:O,O137)*SUMIFS('BUYER доставка'!L:L,'BUYER доставка'!A:A,O137))/D137,"")</f>
        <v>137.22514642717687</v>
      </c>
      <c r="R137" s="5">
        <f t="shared" si="8"/>
        <v>704.09269976296378</v>
      </c>
    </row>
    <row r="138" spans="1:18" x14ac:dyDescent="0.3">
      <c r="A138" s="15" t="s">
        <v>165</v>
      </c>
      <c r="B138" t="str">
        <f>VLOOKUP($A138,'Список товаров'!A:E,5,0)</f>
        <v>Сборная модель Ford 2018 Mustang GT 1:42 Синяя</v>
      </c>
      <c r="C138" s="1">
        <v>45835</v>
      </c>
      <c r="D138">
        <v>5</v>
      </c>
      <c r="E138">
        <v>5</v>
      </c>
      <c r="G138" t="b">
        <f>Таблица8[[#This Row],[Количество]]=Таблица8[[#This Row],[Принято]]+Таблица8[[#This Row],[Брак]]</f>
        <v>1</v>
      </c>
      <c r="H138" s="11">
        <v>26.620001339674342</v>
      </c>
      <c r="I138" s="11">
        <f>Таблица8[[#This Row],[Количество]]*Таблица8[[#This Row],[Цена покупки CNY за единицу]]</f>
        <v>133.10000669837171</v>
      </c>
      <c r="J138" s="57">
        <f>SUMIFS(Курсы_валют!E:E,Курсы_валют!B:B,"CNY")+0.3</f>
        <v>11.6561</v>
      </c>
      <c r="L138" s="57">
        <f>SUMIFS(Курсы_валют!E:E,Курсы_валют!B:B,"USD")</f>
        <v>81.225700000000003</v>
      </c>
      <c r="M138" s="3">
        <f>L138*K138+(Таблица8[[#This Row],[Цена покупки CNY]]*Таблица8[[#This Row],[Курс CNY]])</f>
        <v>1551.4269880768907</v>
      </c>
      <c r="N138" s="3">
        <f t="shared" si="7"/>
        <v>310.28539761537809</v>
      </c>
      <c r="O138" t="s">
        <v>584</v>
      </c>
      <c r="P138" s="15">
        <f>VLOOKUP($A138,'Список товаров'!A:K,11,0)*D138/1000</f>
        <v>1.1000000000000001</v>
      </c>
      <c r="Q138" s="4">
        <f>IFERROR((P138/SUMIFS(P:P,O:O,O138)*SUMIFS('BUYER доставка'!L:L,'BUYER доставка'!A:A,O138))/D138,"")</f>
        <v>75.473830534947282</v>
      </c>
      <c r="R138" s="5">
        <f t="shared" si="8"/>
        <v>385.75922815032538</v>
      </c>
    </row>
    <row r="139" spans="1:18" x14ac:dyDescent="0.3">
      <c r="A139" s="15" t="s">
        <v>167</v>
      </c>
      <c r="B139" t="str">
        <f>VLOOKUP($A139,'Список товаров'!A:E,5,0)</f>
        <v>Сборная модель Ford 2018 Mustang GT 1:42 Красная</v>
      </c>
      <c r="C139" s="1">
        <v>45835</v>
      </c>
      <c r="D139">
        <v>15</v>
      </c>
      <c r="E139">
        <v>15</v>
      </c>
      <c r="G139" t="b">
        <f>Таблица8[[#This Row],[Количество]]=Таблица8[[#This Row],[Принято]]+Таблица8[[#This Row],[Брак]]</f>
        <v>1</v>
      </c>
      <c r="H139" s="11">
        <v>26.620001339674342</v>
      </c>
      <c r="I139" s="11">
        <f>Таблица8[[#This Row],[Количество]]*Таблица8[[#This Row],[Цена покупки CNY за единицу]]</f>
        <v>399.30002009511514</v>
      </c>
      <c r="J139" s="57">
        <f>SUMIFS(Курсы_валют!E:E,Курсы_валют!B:B,"CNY")+0.3</f>
        <v>11.6561</v>
      </c>
      <c r="L139" s="57">
        <f>SUMIFS(Курсы_валют!E:E,Курсы_валют!B:B,"USD")</f>
        <v>81.225700000000003</v>
      </c>
      <c r="M139" s="3">
        <f>L139*K139+(Таблица8[[#This Row],[Цена покупки CNY]]*Таблица8[[#This Row],[Курс CNY]])</f>
        <v>4654.280964230672</v>
      </c>
      <c r="N139" s="3">
        <f t="shared" si="7"/>
        <v>310.28539761537809</v>
      </c>
      <c r="O139" t="s">
        <v>584</v>
      </c>
      <c r="P139" s="15">
        <f>VLOOKUP($A139,'Список товаров'!A:K,11,0)*D139/1000</f>
        <v>3.3</v>
      </c>
      <c r="Q139" s="4">
        <f>IFERROR((P139/SUMIFS(P:P,O:O,O139)*SUMIFS('BUYER доставка'!L:L,'BUYER доставка'!A:A,O139))/D139,"")</f>
        <v>75.473830534947268</v>
      </c>
      <c r="R139" s="5">
        <f t="shared" si="8"/>
        <v>385.75922815032538</v>
      </c>
    </row>
    <row r="140" spans="1:18" x14ac:dyDescent="0.3">
      <c r="A140" s="15" t="s">
        <v>164</v>
      </c>
      <c r="B140" t="str">
        <f>VLOOKUP($A140,'Список товаров'!A:E,5,0)</f>
        <v>Сборная модель Ford 2018 Mustang GT 1:42 Желтая</v>
      </c>
      <c r="C140" s="1">
        <v>45835</v>
      </c>
      <c r="D140">
        <v>5</v>
      </c>
      <c r="E140">
        <v>5</v>
      </c>
      <c r="G140" t="b">
        <f>Таблица8[[#This Row],[Количество]]=Таблица8[[#This Row],[Принято]]+Таблица8[[#This Row],[Брак]]</f>
        <v>1</v>
      </c>
      <c r="H140" s="11">
        <v>26.620001339674342</v>
      </c>
      <c r="I140" s="11">
        <f>Таблица8[[#This Row],[Количество]]*Таблица8[[#This Row],[Цена покупки CNY за единицу]]</f>
        <v>133.10000669837171</v>
      </c>
      <c r="J140" s="57">
        <f>SUMIFS(Курсы_валют!E:E,Курсы_валют!B:B,"CNY")+0.3</f>
        <v>11.6561</v>
      </c>
      <c r="L140" s="57">
        <f>SUMIFS(Курсы_валют!E:E,Курсы_валют!B:B,"USD")</f>
        <v>81.225700000000003</v>
      </c>
      <c r="M140" s="3">
        <f>L140*K140+(Таблица8[[#This Row],[Цена покупки CNY]]*Таблица8[[#This Row],[Курс CNY]])</f>
        <v>1551.4269880768907</v>
      </c>
      <c r="N140" s="3">
        <f t="shared" si="7"/>
        <v>310.28539761537809</v>
      </c>
      <c r="O140" t="s">
        <v>584</v>
      </c>
      <c r="P140" s="15">
        <f>VLOOKUP($A140,'Список товаров'!A:K,11,0)*D140/1000</f>
        <v>1.1000000000000001</v>
      </c>
      <c r="Q140" s="4">
        <f>IFERROR((P140/SUMIFS(P:P,O:O,O140)*SUMIFS('BUYER доставка'!L:L,'BUYER доставка'!A:A,O140))/D140,"")</f>
        <v>75.473830534947282</v>
      </c>
      <c r="R140" s="5">
        <f t="shared" si="8"/>
        <v>385.75922815032538</v>
      </c>
    </row>
    <row r="141" spans="1:18" x14ac:dyDescent="0.3">
      <c r="A141" s="15" t="s">
        <v>168</v>
      </c>
      <c r="B141" t="str">
        <f>VLOOKUP($A141,'Список товаров'!A:E,5,0)</f>
        <v>Сборная модель Land Rover Defender 110 1:42 Зеленая</v>
      </c>
      <c r="C141" s="1">
        <v>45835</v>
      </c>
      <c r="D141">
        <v>10</v>
      </c>
      <c r="E141">
        <v>10</v>
      </c>
      <c r="G141" t="b">
        <f>Таблица8[[#This Row],[Количество]]=Таблица8[[#This Row],[Принято]]+Таблица8[[#This Row],[Брак]]</f>
        <v>1</v>
      </c>
      <c r="H141" s="11">
        <v>30.715386161162701</v>
      </c>
      <c r="I141" s="11">
        <f>Таблица8[[#This Row],[Количество]]*Таблица8[[#This Row],[Цена покупки CNY за единицу]]</f>
        <v>307.15386161162701</v>
      </c>
      <c r="J141" s="57">
        <f>SUMIFS(Курсы_валют!E:E,Курсы_валют!B:B,"CNY")+0.3</f>
        <v>11.6561</v>
      </c>
      <c r="L141" s="57">
        <f>SUMIFS(Курсы_валют!E:E,Курсы_валют!B:B,"USD")</f>
        <v>81.225700000000003</v>
      </c>
      <c r="M141" s="3">
        <f>L141*K141+(Таблица8[[#This Row],[Цена покупки CNY]]*Таблица8[[#This Row],[Курс CNY]])</f>
        <v>3580.2161263312855</v>
      </c>
      <c r="N141" s="3">
        <f t="shared" si="7"/>
        <v>358.0216126331286</v>
      </c>
      <c r="O141" t="s">
        <v>584</v>
      </c>
      <c r="P141" s="15">
        <f>VLOOKUP($A141,'Список товаров'!A:K,11,0)*D141/1000</f>
        <v>2.2000000000000002</v>
      </c>
      <c r="Q141" s="4">
        <f>IFERROR((P141/SUMIFS(P:P,O:O,O141)*SUMIFS('BUYER доставка'!L:L,'BUYER доставка'!A:A,O141))/D141,"")</f>
        <v>75.473830534947282</v>
      </c>
      <c r="R141" s="5">
        <f t="shared" si="8"/>
        <v>433.49544316807589</v>
      </c>
    </row>
    <row r="142" spans="1:18" x14ac:dyDescent="0.3">
      <c r="A142" s="15" t="s">
        <v>166</v>
      </c>
      <c r="B142" t="str">
        <f>VLOOKUP($A142,'Список товаров'!A:E,5,0)</f>
        <v>Сборная модель Land Rover Defender 110 1:42 Красная</v>
      </c>
      <c r="C142" s="1">
        <v>45835</v>
      </c>
      <c r="D142">
        <v>5</v>
      </c>
      <c r="E142">
        <v>5</v>
      </c>
      <c r="G142" t="b">
        <f>Таблица8[[#This Row],[Количество]]=Таблица8[[#This Row],[Принято]]+Таблица8[[#This Row],[Брак]]</f>
        <v>1</v>
      </c>
      <c r="H142" s="11">
        <v>30.715386161162701</v>
      </c>
      <c r="I142" s="11">
        <f>Таблица8[[#This Row],[Количество]]*Таблица8[[#This Row],[Цена покупки CNY за единицу]]</f>
        <v>153.5769308058135</v>
      </c>
      <c r="J142" s="57">
        <f>SUMIFS(Курсы_валют!E:E,Курсы_валют!B:B,"CNY")+0.3</f>
        <v>11.6561</v>
      </c>
      <c r="L142" s="57">
        <f>SUMIFS(Курсы_валют!E:E,Курсы_валют!B:B,"USD")</f>
        <v>81.225700000000003</v>
      </c>
      <c r="M142" s="3">
        <f>L142*K142+(Таблица8[[#This Row],[Цена покупки CNY]]*Таблица8[[#This Row],[Курс CNY]])</f>
        <v>1790.1080631656428</v>
      </c>
      <c r="N142" s="3">
        <f t="shared" si="7"/>
        <v>358.0216126331286</v>
      </c>
      <c r="O142" t="s">
        <v>584</v>
      </c>
      <c r="P142" s="15">
        <f>VLOOKUP($A142,'Список товаров'!A:K,11,0)*D142/1000</f>
        <v>1.1000000000000001</v>
      </c>
      <c r="Q142" s="4">
        <f>IFERROR((P142/SUMIFS(P:P,O:O,O142)*SUMIFS('BUYER доставка'!L:L,'BUYER доставка'!A:A,O142))/D142,"")</f>
        <v>75.473830534947282</v>
      </c>
      <c r="R142" s="5">
        <f t="shared" si="8"/>
        <v>433.49544316807589</v>
      </c>
    </row>
    <row r="143" spans="1:18" x14ac:dyDescent="0.3">
      <c r="A143" s="15" t="s">
        <v>172</v>
      </c>
      <c r="B143" t="str">
        <f>VLOOKUP($A143,'Список товаров'!A:E,5,0)</f>
        <v>Сборная модель Land Rover Defender 110 1:42 Серая</v>
      </c>
      <c r="C143" s="1">
        <v>45835</v>
      </c>
      <c r="D143">
        <v>5</v>
      </c>
      <c r="E143">
        <v>5</v>
      </c>
      <c r="G143" t="b">
        <f>Таблица8[[#This Row],[Количество]]=Таблица8[[#This Row],[Принято]]+Таблица8[[#This Row],[Брак]]</f>
        <v>1</v>
      </c>
      <c r="H143" s="11">
        <v>30.715386161162701</v>
      </c>
      <c r="I143" s="11">
        <f>Таблица8[[#This Row],[Количество]]*Таблица8[[#This Row],[Цена покупки CNY за единицу]]</f>
        <v>153.5769308058135</v>
      </c>
      <c r="J143" s="57">
        <f>SUMIFS(Курсы_валют!E:E,Курсы_валют!B:B,"CNY")+0.3</f>
        <v>11.6561</v>
      </c>
      <c r="L143" s="57">
        <f>SUMIFS(Курсы_валют!E:E,Курсы_валют!B:B,"USD")</f>
        <v>81.225700000000003</v>
      </c>
      <c r="M143" s="3">
        <f>L143*K143+(Таблица8[[#This Row],[Цена покупки CNY]]*Таблица8[[#This Row],[Курс CNY]])</f>
        <v>1790.1080631656428</v>
      </c>
      <c r="N143" s="3">
        <f t="shared" si="7"/>
        <v>358.0216126331286</v>
      </c>
      <c r="O143" t="s">
        <v>584</v>
      </c>
      <c r="P143" s="15">
        <f>VLOOKUP($A143,'Список товаров'!A:K,11,0)*D143/1000</f>
        <v>1.1000000000000001</v>
      </c>
      <c r="Q143" s="4">
        <f>IFERROR((P143/SUMIFS(P:P,O:O,O143)*SUMIFS('BUYER доставка'!L:L,'BUYER доставка'!A:A,O143))/D143,"")</f>
        <v>75.473830534947282</v>
      </c>
      <c r="R143" s="5">
        <f t="shared" si="8"/>
        <v>433.49544316807589</v>
      </c>
    </row>
    <row r="144" spans="1:18" x14ac:dyDescent="0.3">
      <c r="A144" s="15" t="s">
        <v>169</v>
      </c>
      <c r="B144" t="str">
        <f>VLOOKUP($A144,'Список товаров'!A:E,5,0)</f>
        <v>Сборная модель Dodge Challenger Hellcat 1:36 Черная</v>
      </c>
      <c r="C144" s="1">
        <v>45835</v>
      </c>
      <c r="D144">
        <v>10</v>
      </c>
      <c r="E144">
        <v>10</v>
      </c>
      <c r="G144" t="b">
        <f>Таблица8[[#This Row],[Количество]]=Таблица8[[#This Row],[Принято]]+Таблица8[[#This Row],[Брак]]</f>
        <v>1</v>
      </c>
      <c r="H144" s="11">
        <v>48.12077165248823</v>
      </c>
      <c r="I144" s="11">
        <f>Таблица8[[#This Row],[Количество]]*Таблица8[[#This Row],[Цена покупки CNY за единицу]]</f>
        <v>481.2077165248823</v>
      </c>
      <c r="J144" s="57">
        <f>SUMIFS(Курсы_валют!E:E,Курсы_валют!B:B,"CNY")+0.3</f>
        <v>11.6561</v>
      </c>
      <c r="L144" s="57">
        <f>SUMIFS(Курсы_валют!E:E,Курсы_валют!B:B,"USD")</f>
        <v>81.225700000000003</v>
      </c>
      <c r="M144" s="3">
        <f>L144*K144+(Таблица8[[#This Row],[Цена покупки CNY]]*Таблица8[[#This Row],[Курс CNY]])</f>
        <v>5609.0052645856804</v>
      </c>
      <c r="N144" s="3">
        <f t="shared" si="7"/>
        <v>560.90052645856804</v>
      </c>
      <c r="O144" t="s">
        <v>584</v>
      </c>
      <c r="P144" s="15">
        <f>VLOOKUP($A144,'Список товаров'!A:K,11,0)*D144/1000</f>
        <v>2.2000000000000002</v>
      </c>
      <c r="Q144" s="4">
        <f>IFERROR((P144/SUMIFS(P:P,O:O,O144)*SUMIFS('BUYER доставка'!L:L,'BUYER доставка'!A:A,O144))/D144,"")</f>
        <v>75.473830534947282</v>
      </c>
      <c r="R144" s="5">
        <f t="shared" si="8"/>
        <v>636.37435699351533</v>
      </c>
    </row>
    <row r="145" spans="1:18" x14ac:dyDescent="0.3">
      <c r="A145" s="15" t="s">
        <v>170</v>
      </c>
      <c r="B145" t="str">
        <f>VLOOKUP($A145,'Список товаров'!A:E,5,0)</f>
        <v>Сборная модель Dodge Challenger Hellcat 1:36 Зеленая</v>
      </c>
      <c r="C145" s="1">
        <v>45835</v>
      </c>
      <c r="D145">
        <v>5</v>
      </c>
      <c r="E145">
        <v>5</v>
      </c>
      <c r="G145" t="b">
        <f>Таблица8[[#This Row],[Количество]]=Таблица8[[#This Row],[Принято]]+Таблица8[[#This Row],[Брак]]</f>
        <v>1</v>
      </c>
      <c r="H145" s="11">
        <v>48.12077165248823</v>
      </c>
      <c r="I145" s="11">
        <f>Таблица8[[#This Row],[Количество]]*Таблица8[[#This Row],[Цена покупки CNY за единицу]]</f>
        <v>240.60385826244115</v>
      </c>
      <c r="J145" s="57">
        <f>SUMIFS(Курсы_валют!E:E,Курсы_валют!B:B,"CNY")+0.3</f>
        <v>11.6561</v>
      </c>
      <c r="L145" s="57">
        <f>SUMIFS(Курсы_валют!E:E,Курсы_валют!B:B,"USD")</f>
        <v>81.225700000000003</v>
      </c>
      <c r="M145" s="3">
        <f>L145*K145+(Таблица8[[#This Row],[Цена покупки CNY]]*Таблица8[[#This Row],[Курс CNY]])</f>
        <v>2804.5026322928402</v>
      </c>
      <c r="N145" s="3">
        <f t="shared" si="7"/>
        <v>560.90052645856804</v>
      </c>
      <c r="O145" t="s">
        <v>584</v>
      </c>
      <c r="P145" s="15">
        <f>VLOOKUP($A145,'Список товаров'!A:K,11,0)*D145/1000</f>
        <v>1.1000000000000001</v>
      </c>
      <c r="Q145" s="4">
        <f>IFERROR((P145/SUMIFS(P:P,O:O,O145)*SUMIFS('BUYER доставка'!L:L,'BUYER доставка'!A:A,O145))/D145,"")</f>
        <v>75.473830534947282</v>
      </c>
      <c r="R145" s="5">
        <f t="shared" si="8"/>
        <v>636.37435699351533</v>
      </c>
    </row>
    <row r="146" spans="1:18" x14ac:dyDescent="0.3">
      <c r="A146" s="15" t="s">
        <v>173</v>
      </c>
      <c r="B146" t="str">
        <f>VLOOKUP($A146,'Список товаров'!A:E,5,0)</f>
        <v>Сборная модель Dodge Challenger Hellcat 1:36 Красная</v>
      </c>
      <c r="C146" s="1">
        <v>45835</v>
      </c>
      <c r="D146">
        <v>5</v>
      </c>
      <c r="E146">
        <v>5</v>
      </c>
      <c r="G146" t="b">
        <f>Таблица8[[#This Row],[Количество]]=Таблица8[[#This Row],[Принято]]+Таблица8[[#This Row],[Брак]]</f>
        <v>1</v>
      </c>
      <c r="H146" s="11">
        <v>48.12077165248823</v>
      </c>
      <c r="I146" s="11">
        <f>Таблица8[[#This Row],[Количество]]*Таблица8[[#This Row],[Цена покупки CNY за единицу]]</f>
        <v>240.60385826244115</v>
      </c>
      <c r="J146" s="57">
        <f>SUMIFS(Курсы_валют!E:E,Курсы_валют!B:B,"CNY")+0.3</f>
        <v>11.6561</v>
      </c>
      <c r="L146" s="57">
        <f>SUMIFS(Курсы_валют!E:E,Курсы_валют!B:B,"USD")</f>
        <v>81.225700000000003</v>
      </c>
      <c r="M146" s="3">
        <f>L146*K146+(Таблица8[[#This Row],[Цена покупки CNY]]*Таблица8[[#This Row],[Курс CNY]])</f>
        <v>2804.5026322928402</v>
      </c>
      <c r="N146" s="3">
        <f t="shared" si="7"/>
        <v>560.90052645856804</v>
      </c>
      <c r="O146" t="s">
        <v>584</v>
      </c>
      <c r="P146" s="15">
        <f>VLOOKUP($A146,'Список товаров'!A:K,11,0)*D146/1000</f>
        <v>1.1000000000000001</v>
      </c>
      <c r="Q146" s="4">
        <f>IFERROR((P146/SUMIFS(P:P,O:O,O146)*SUMIFS('BUYER доставка'!L:L,'BUYER доставка'!A:A,O146))/D146,"")</f>
        <v>75.473830534947282</v>
      </c>
      <c r="R146" s="5">
        <f t="shared" si="8"/>
        <v>636.37435699351533</v>
      </c>
    </row>
    <row r="147" spans="1:18" x14ac:dyDescent="0.3">
      <c r="A147" s="15" t="s">
        <v>568</v>
      </c>
      <c r="B147" t="str">
        <f>VLOOKUP($A147,'Список товаров'!A:E,5,0)</f>
        <v>Сборная модель 1:32 Suzuki jimny синяя</v>
      </c>
      <c r="C147" s="1">
        <v>45835</v>
      </c>
      <c r="D147">
        <v>10</v>
      </c>
      <c r="E147">
        <v>10</v>
      </c>
      <c r="G147" t="b">
        <f>Таблица8[[#This Row],[Количество]]=Таблица8[[#This Row],[Принято]]+Таблица8[[#This Row],[Брак]]</f>
        <v>1</v>
      </c>
      <c r="H147" s="11">
        <v>30.715386161162701</v>
      </c>
      <c r="I147" s="11">
        <f>Таблица8[[#This Row],[Количество]]*Таблица8[[#This Row],[Цена покупки CNY за единицу]]</f>
        <v>307.15386161162701</v>
      </c>
      <c r="J147" s="57">
        <f>SUMIFS(Курсы_валют!E:E,Курсы_валют!B:B,"CNY")+0.3</f>
        <v>11.6561</v>
      </c>
      <c r="L147" s="57">
        <f>SUMIFS(Курсы_валют!E:E,Курсы_валют!B:B,"USD")</f>
        <v>81.225700000000003</v>
      </c>
      <c r="M147" s="3">
        <f>L147*K147+(Таблица8[[#This Row],[Цена покупки CNY]]*Таблица8[[#This Row],[Курс CNY]])</f>
        <v>3580.2161263312855</v>
      </c>
      <c r="N147" s="3">
        <f t="shared" si="7"/>
        <v>358.0216126331286</v>
      </c>
      <c r="O147" t="s">
        <v>584</v>
      </c>
      <c r="P147" s="15">
        <f>VLOOKUP($A147,'Список товаров'!A:K,11,0)*D147/1000</f>
        <v>2.2000000000000002</v>
      </c>
      <c r="Q147" s="4">
        <f>IFERROR((P147/SUMIFS(P:P,O:O,O147)*SUMIFS('BUYER доставка'!L:L,'BUYER доставка'!A:A,O147))/D147,"")</f>
        <v>75.473830534947282</v>
      </c>
      <c r="R147" s="5">
        <f t="shared" si="8"/>
        <v>433.49544316807589</v>
      </c>
    </row>
    <row r="148" spans="1:18" x14ac:dyDescent="0.3">
      <c r="A148" s="15" t="s">
        <v>572</v>
      </c>
      <c r="B148" t="str">
        <f>VLOOKUP($A148,'Список товаров'!A:E,5,0)</f>
        <v>Сборная модель 1:32 Suzuki jimny Зеленая</v>
      </c>
      <c r="C148" s="1">
        <v>45835</v>
      </c>
      <c r="D148">
        <v>10</v>
      </c>
      <c r="E148">
        <v>10</v>
      </c>
      <c r="G148" t="b">
        <f>Таблица8[[#This Row],[Количество]]=Таблица8[[#This Row],[Принято]]+Таблица8[[#This Row],[Брак]]</f>
        <v>1</v>
      </c>
      <c r="H148" s="11">
        <v>30.715386161162701</v>
      </c>
      <c r="I148" s="11">
        <f>Таблица8[[#This Row],[Количество]]*Таблица8[[#This Row],[Цена покупки CNY за единицу]]</f>
        <v>307.15386161162701</v>
      </c>
      <c r="J148" s="57">
        <f>SUMIFS(Курсы_валют!E:E,Курсы_валют!B:B,"CNY")+0.3</f>
        <v>11.6561</v>
      </c>
      <c r="L148" s="57">
        <f>SUMIFS(Курсы_валют!E:E,Курсы_валют!B:B,"USD")</f>
        <v>81.225700000000003</v>
      </c>
      <c r="M148" s="3">
        <f>L148*K148+(Таблица8[[#This Row],[Цена покупки CNY]]*Таблица8[[#This Row],[Курс CNY]])</f>
        <v>3580.2161263312855</v>
      </c>
      <c r="N148" s="3">
        <f t="shared" si="7"/>
        <v>358.0216126331286</v>
      </c>
      <c r="O148" t="s">
        <v>584</v>
      </c>
      <c r="P148" s="15">
        <f>VLOOKUP($A148,'Список товаров'!A:K,11,0)*D148/1000</f>
        <v>2.2000000000000002</v>
      </c>
      <c r="Q148" s="4">
        <f>IFERROR((P148/SUMIFS(P:P,O:O,O148)*SUMIFS('BUYER доставка'!L:L,'BUYER доставка'!A:A,O148))/D148,"")</f>
        <v>75.473830534947282</v>
      </c>
      <c r="R148" s="5">
        <f t="shared" si="8"/>
        <v>433.49544316807589</v>
      </c>
    </row>
    <row r="149" spans="1:18" x14ac:dyDescent="0.3">
      <c r="A149" s="15" t="s">
        <v>569</v>
      </c>
      <c r="B149" t="str">
        <f>VLOOKUP($A149,'Список товаров'!A:E,5,0)</f>
        <v>Сборная модель 1:32 Suzuki jimny красная</v>
      </c>
      <c r="C149" s="1">
        <v>45835</v>
      </c>
      <c r="D149">
        <v>10</v>
      </c>
      <c r="E149">
        <v>10</v>
      </c>
      <c r="G149" t="b">
        <f>Таблица8[[#This Row],[Количество]]=Таблица8[[#This Row],[Принято]]+Таблица8[[#This Row],[Брак]]</f>
        <v>1</v>
      </c>
      <c r="H149" s="11">
        <v>30.715386161162701</v>
      </c>
      <c r="I149" s="11">
        <f>Таблица8[[#This Row],[Количество]]*Таблица8[[#This Row],[Цена покупки CNY за единицу]]</f>
        <v>307.15386161162701</v>
      </c>
      <c r="J149" s="57">
        <f>SUMIFS(Курсы_валют!E:E,Курсы_валют!B:B,"CNY")+0.3</f>
        <v>11.6561</v>
      </c>
      <c r="L149" s="57">
        <f>SUMIFS(Курсы_валют!E:E,Курсы_валют!B:B,"USD")</f>
        <v>81.225700000000003</v>
      </c>
      <c r="M149" s="3">
        <f>L149*K149+(Таблица8[[#This Row],[Цена покупки CNY]]*Таблица8[[#This Row],[Курс CNY]])</f>
        <v>3580.2161263312855</v>
      </c>
      <c r="N149" s="3">
        <f t="shared" si="7"/>
        <v>358.0216126331286</v>
      </c>
      <c r="O149" t="s">
        <v>584</v>
      </c>
      <c r="P149" s="15">
        <f>VLOOKUP($A149,'Список товаров'!A:K,11,0)*D149/1000</f>
        <v>2.2000000000000002</v>
      </c>
      <c r="Q149" s="4">
        <f>IFERROR((P149/SUMIFS(P:P,O:O,O149)*SUMIFS('BUYER доставка'!L:L,'BUYER доставка'!A:A,O149))/D149,"")</f>
        <v>75.473830534947282</v>
      </c>
      <c r="R149" s="5">
        <f t="shared" si="8"/>
        <v>433.49544316807589</v>
      </c>
    </row>
    <row r="150" spans="1:18" x14ac:dyDescent="0.3">
      <c r="A150" s="15" t="s">
        <v>577</v>
      </c>
      <c r="B150" t="str">
        <f>VLOOKUP($A150,'Список товаров'!A:E,5,0)</f>
        <v>Сборная модель 1:32 Suzuki jimny черная</v>
      </c>
      <c r="C150" s="1">
        <v>45835</v>
      </c>
      <c r="D150">
        <v>10</v>
      </c>
      <c r="E150">
        <v>10</v>
      </c>
      <c r="G150" t="b">
        <f>Таблица8[[#This Row],[Количество]]=Таблица8[[#This Row],[Принято]]+Таблица8[[#This Row],[Брак]]</f>
        <v>1</v>
      </c>
      <c r="H150" s="11">
        <v>30.715386161162701</v>
      </c>
      <c r="I150" s="11">
        <f>Таблица8[[#This Row],[Количество]]*Таблица8[[#This Row],[Цена покупки CNY за единицу]]</f>
        <v>307.15386161162701</v>
      </c>
      <c r="J150" s="57">
        <f>SUMIFS(Курсы_валют!E:E,Курсы_валют!B:B,"CNY")+0.3</f>
        <v>11.6561</v>
      </c>
      <c r="L150" s="57">
        <f>SUMIFS(Курсы_валют!E:E,Курсы_валют!B:B,"USD")</f>
        <v>81.225700000000003</v>
      </c>
      <c r="M150" s="3">
        <f>L150*K150+(Таблица8[[#This Row],[Цена покупки CNY]]*Таблица8[[#This Row],[Курс CNY]])</f>
        <v>3580.2161263312855</v>
      </c>
      <c r="N150" s="3">
        <f t="shared" si="7"/>
        <v>358.0216126331286</v>
      </c>
      <c r="O150" t="s">
        <v>584</v>
      </c>
      <c r="P150" s="15">
        <f>VLOOKUP($A150,'Список товаров'!A:K,11,0)*D150/1000</f>
        <v>2.2000000000000002</v>
      </c>
      <c r="Q150" s="4">
        <f>IFERROR((P150/SUMIFS(P:P,O:O,O150)*SUMIFS('BUYER доставка'!L:L,'BUYER доставка'!A:A,O150))/D150,"")</f>
        <v>75.473830534947282</v>
      </c>
      <c r="R150" s="5">
        <f t="shared" si="8"/>
        <v>433.49544316807589</v>
      </c>
    </row>
    <row r="151" spans="1:18" x14ac:dyDescent="0.3">
      <c r="A151" s="45" t="s">
        <v>386</v>
      </c>
      <c r="B151" t="str">
        <f>VLOOKUP($A151,'Список товаров'!A:E,5,0)</f>
        <v>SSD SATA 256 GB CEAMERE Внешний</v>
      </c>
      <c r="C151" s="1">
        <v>45835</v>
      </c>
      <c r="D151">
        <v>2</v>
      </c>
      <c r="E151">
        <v>2</v>
      </c>
      <c r="G151" t="b">
        <f>Таблица8[[#This Row],[Количество]]=Таблица8[[#This Row],[Принято]]+Таблица8[[#This Row],[Брак]]</f>
        <v>1</v>
      </c>
      <c r="H151" s="11">
        <v>47.5</v>
      </c>
      <c r="I151" s="11">
        <f>Таблица8[[#This Row],[Количество]]*Таблица8[[#This Row],[Цена покупки CNY за единицу]]</f>
        <v>95</v>
      </c>
      <c r="J151" s="57">
        <f>SUMIFS(Курсы_валют!E:E,Курсы_валют!B:B,"CNY")+0.3</f>
        <v>11.6561</v>
      </c>
      <c r="L151" s="57">
        <f>SUMIFS(Курсы_валют!E:E,Курсы_валют!B:B,"USD")</f>
        <v>81.225700000000003</v>
      </c>
      <c r="M151" s="3">
        <f>L151*K151+(Таблица8[[#This Row],[Цена покупки CNY]]*Таблица8[[#This Row],[Курс CNY]])</f>
        <v>1107.3295000000001</v>
      </c>
      <c r="N151" s="3">
        <f t="shared" si="7"/>
        <v>553.66475000000003</v>
      </c>
      <c r="O151" t="s">
        <v>584</v>
      </c>
      <c r="P151" s="15">
        <f>VLOOKUP($A151,'Список товаров'!A:K,11,0)*D151/1000</f>
        <v>0.2</v>
      </c>
      <c r="Q151" s="4">
        <f>IFERROR((P151/SUMIFS(P:P,O:O,O151)*SUMIFS('BUYER доставка'!L:L,'BUYER доставка'!A:A,O151))/D151,"")</f>
        <v>34.306286606794224</v>
      </c>
      <c r="R151" s="5">
        <f t="shared" si="8"/>
        <v>587.9710366067942</v>
      </c>
    </row>
    <row r="152" spans="1:18" x14ac:dyDescent="0.3">
      <c r="A152" s="32" t="s">
        <v>581</v>
      </c>
      <c r="B152" t="str">
        <f>VLOOKUP($A152,'Список товаров'!A:E,5,0)</f>
        <v>2-х этажный металлический автобус, бежевый</v>
      </c>
      <c r="C152" s="1">
        <v>45835</v>
      </c>
      <c r="D152">
        <v>10</v>
      </c>
      <c r="E152">
        <v>10</v>
      </c>
      <c r="G152" t="b">
        <f>Таблица8[[#This Row],[Количество]]=Таблица8[[#This Row],[Принято]]+Таблица8[[#This Row],[Брак]]</f>
        <v>1</v>
      </c>
      <c r="H152" s="11">
        <v>46.039999999999715</v>
      </c>
      <c r="I152" s="11">
        <f>Таблица8[[#This Row],[Количество]]*Таблица8[[#This Row],[Цена покупки CNY за единицу]]</f>
        <v>460.39999999999714</v>
      </c>
      <c r="J152" s="57">
        <f>SUMIFS(Курсы_валют!E:E,Курсы_валют!B:B,"CNY")+0.3</f>
        <v>11.6561</v>
      </c>
      <c r="L152" s="57">
        <f>SUMIFS(Курсы_валют!E:E,Курсы_валют!B:B,"USD")</f>
        <v>81.225700000000003</v>
      </c>
      <c r="M152" s="3">
        <f>L152*K152+(Таблица8[[#This Row],[Цена покупки CNY]]*Таблица8[[#This Row],[Курс CNY]])</f>
        <v>5366.4684399999669</v>
      </c>
      <c r="N152" s="3">
        <f t="shared" si="7"/>
        <v>536.64684399999669</v>
      </c>
      <c r="O152" s="43" t="s">
        <v>584</v>
      </c>
      <c r="P152" s="15">
        <f>VLOOKUP($A152,'Список товаров'!A:K,11,0)*D152/1000</f>
        <v>4</v>
      </c>
      <c r="Q152" s="4">
        <f>IFERROR((P152/SUMIFS(P:P,O:O,O152)*SUMIFS('BUYER доставка'!L:L,'BUYER доставка'!A:A,O152))/D152,"")</f>
        <v>137.22514642717687</v>
      </c>
      <c r="R152" s="5">
        <f t="shared" si="8"/>
        <v>673.87199042717361</v>
      </c>
    </row>
    <row r="153" spans="1:18" x14ac:dyDescent="0.3">
      <c r="A153" s="32" t="s">
        <v>174</v>
      </c>
      <c r="B153" t="str">
        <f>VLOOKUP($A153,'Список товаров'!A:E,5,0)</f>
        <v>2-х этажный металлический автобус, белый</v>
      </c>
      <c r="C153" s="1">
        <v>45835</v>
      </c>
      <c r="D153">
        <v>5</v>
      </c>
      <c r="E153">
        <v>5</v>
      </c>
      <c r="G153" t="b">
        <f>Таблица8[[#This Row],[Количество]]=Таблица8[[#This Row],[Принято]]+Таблица8[[#This Row],[Брак]]</f>
        <v>1</v>
      </c>
      <c r="H153" s="11">
        <v>46.039999999999715</v>
      </c>
      <c r="I153" s="11">
        <f>Таблица8[[#This Row],[Количество]]*Таблица8[[#This Row],[Цена покупки CNY за единицу]]</f>
        <v>230.19999999999857</v>
      </c>
      <c r="J153" s="57">
        <f>SUMIFS(Курсы_валют!E:E,Курсы_валют!B:B,"CNY")+0.3</f>
        <v>11.6561</v>
      </c>
      <c r="L153" s="57">
        <f>SUMIFS(Курсы_валют!E:E,Курсы_валют!B:B,"USD")</f>
        <v>81.225700000000003</v>
      </c>
      <c r="M153" s="3">
        <f>L153*K153+(Таблица8[[#This Row],[Цена покупки CNY]]*Таблица8[[#This Row],[Курс CNY]])</f>
        <v>2683.2342199999835</v>
      </c>
      <c r="N153" s="3">
        <f t="shared" si="7"/>
        <v>536.64684399999669</v>
      </c>
      <c r="O153" t="s">
        <v>584</v>
      </c>
      <c r="P153" s="15">
        <f>VLOOKUP($A153,'Список товаров'!A:K,11,0)*D153/1000</f>
        <v>2</v>
      </c>
      <c r="Q153" s="4">
        <f>IFERROR((P153/SUMIFS(P:P,O:O,O153)*SUMIFS('BUYER доставка'!L:L,'BUYER доставка'!A:A,O153))/D153,"")</f>
        <v>137.22514642717687</v>
      </c>
      <c r="R153" s="5">
        <f t="shared" si="8"/>
        <v>673.87199042717361</v>
      </c>
    </row>
    <row r="154" spans="1:18" x14ac:dyDescent="0.3">
      <c r="A154" s="32" t="s">
        <v>176</v>
      </c>
      <c r="B154" t="str">
        <f>VLOOKUP($A154,'Список товаров'!A:E,5,0)</f>
        <v>2-х этажный металлический автобус, синий</v>
      </c>
      <c r="C154" s="1">
        <v>45835</v>
      </c>
      <c r="D154">
        <v>10</v>
      </c>
      <c r="E154">
        <v>10</v>
      </c>
      <c r="G154" t="b">
        <f>Таблица8[[#This Row],[Количество]]=Таблица8[[#This Row],[Принято]]+Таблица8[[#This Row],[Брак]]</f>
        <v>1</v>
      </c>
      <c r="H154" s="11">
        <v>46.039999999999715</v>
      </c>
      <c r="I154" s="11">
        <f>Таблица8[[#This Row],[Количество]]*Таблица8[[#This Row],[Цена покупки CNY за единицу]]</f>
        <v>460.39999999999714</v>
      </c>
      <c r="J154" s="57">
        <f>SUMIFS(Курсы_валют!E:E,Курсы_валют!B:B,"CNY")+0.3</f>
        <v>11.6561</v>
      </c>
      <c r="L154" s="57">
        <f>SUMIFS(Курсы_валют!E:E,Курсы_валют!B:B,"USD")</f>
        <v>81.225700000000003</v>
      </c>
      <c r="M154" s="3">
        <f>L154*K154+(Таблица8[[#This Row],[Цена покупки CNY]]*Таблица8[[#This Row],[Курс CNY]])</f>
        <v>5366.4684399999669</v>
      </c>
      <c r="N154" s="3">
        <f t="shared" si="7"/>
        <v>536.64684399999669</v>
      </c>
      <c r="O154" t="s">
        <v>584</v>
      </c>
      <c r="P154" s="15">
        <f>VLOOKUP($A154,'Список товаров'!A:K,11,0)*D154/1000</f>
        <v>4</v>
      </c>
      <c r="Q154" s="4">
        <f>IFERROR((P154/SUMIFS(P:P,O:O,O154)*SUMIFS('BUYER доставка'!L:L,'BUYER доставка'!A:A,O154))/D154,"")</f>
        <v>137.22514642717687</v>
      </c>
      <c r="R154" s="5">
        <f t="shared" si="8"/>
        <v>673.87199042717361</v>
      </c>
    </row>
    <row r="155" spans="1:18" x14ac:dyDescent="0.3">
      <c r="A155" s="32" t="s">
        <v>586</v>
      </c>
      <c r="B155" t="str">
        <f>VLOOKUP($A155,'Список товаров'!A:E,5,0)</f>
        <v>Фотобумага для принтера Hanyin MT53</v>
      </c>
      <c r="C155" s="1">
        <v>45835</v>
      </c>
      <c r="D155">
        <v>5</v>
      </c>
      <c r="E155">
        <v>5</v>
      </c>
      <c r="G155" t="b">
        <f>Таблица8[[#This Row],[Количество]]=Таблица8[[#This Row],[Принято]]+Таблица8[[#This Row],[Брак]]</f>
        <v>1</v>
      </c>
      <c r="H155" s="11">
        <v>128.56517509727578</v>
      </c>
      <c r="I155" s="11">
        <f>Таблица8[[#This Row],[Количество]]*Таблица8[[#This Row],[Цена покупки CNY за единицу]]</f>
        <v>642.82587548637889</v>
      </c>
      <c r="J155" s="57">
        <f>SUMIFS(Курсы_валют!E:E,Курсы_валют!B:B,"CNY")+0.3</f>
        <v>11.6561</v>
      </c>
      <c r="L155" s="57">
        <f>SUMIFS(Курсы_валют!E:E,Курсы_валют!B:B,"USD")</f>
        <v>81.225700000000003</v>
      </c>
      <c r="M155" s="3">
        <f>L155*K155+(Таблица8[[#This Row],[Цена покупки CNY]]*Таблица8[[#This Row],[Курс CNY]])</f>
        <v>7492.8426872567816</v>
      </c>
      <c r="N155" s="3">
        <f t="shared" si="7"/>
        <v>1498.5685374513564</v>
      </c>
      <c r="O155" t="s">
        <v>584</v>
      </c>
      <c r="P155" s="15">
        <f>VLOOKUP($A155,'Список товаров'!A:K,11,0)*D155/1000</f>
        <v>2</v>
      </c>
      <c r="Q155" s="4">
        <f>IFERROR((P155/SUMIFS(P:P,O:O,O155)*SUMIFS('BUYER доставка'!L:L,'BUYER доставка'!A:A,O155))/D155,"")</f>
        <v>137.22514642717687</v>
      </c>
      <c r="R155" s="5">
        <f t="shared" si="8"/>
        <v>1635.7936838785333</v>
      </c>
    </row>
    <row r="156" spans="1:18" x14ac:dyDescent="0.3">
      <c r="A156" s="32" t="s">
        <v>179</v>
      </c>
      <c r="B156" t="str">
        <f>VLOOKUP($A156,'Список товаров'!A:E,5,0)</f>
        <v>Фотопринтер карманный цветной Hanyin MT53</v>
      </c>
      <c r="C156" s="1">
        <v>45835</v>
      </c>
      <c r="D156">
        <v>5</v>
      </c>
      <c r="E156">
        <v>5</v>
      </c>
      <c r="G156" t="b">
        <f>Таблица8[[#This Row],[Количество]]=Таблица8[[#This Row],[Принято]]+Таблица8[[#This Row],[Брак]]</f>
        <v>1</v>
      </c>
      <c r="H156" s="11">
        <v>360.93482490272237</v>
      </c>
      <c r="I156" s="11">
        <f>Таблица8[[#This Row],[Количество]]*Таблица8[[#This Row],[Цена покупки CNY за единицу]]</f>
        <v>1804.6741245136118</v>
      </c>
      <c r="J156" s="57">
        <f>SUMIFS(Курсы_валют!E:E,Курсы_валют!B:B,"CNY")+0.3</f>
        <v>11.6561</v>
      </c>
      <c r="L156" s="57">
        <f>SUMIFS(Курсы_валют!E:E,Курсы_валют!B:B,"USD")</f>
        <v>81.225700000000003</v>
      </c>
      <c r="M156" s="3">
        <f>L156*K156+(Таблица8[[#This Row],[Цена покупки CNY]]*Таблица8[[#This Row],[Курс CNY]])</f>
        <v>21035.46206274311</v>
      </c>
      <c r="N156" s="3">
        <f t="shared" si="7"/>
        <v>4207.0924125486226</v>
      </c>
      <c r="O156" t="s">
        <v>584</v>
      </c>
      <c r="P156" s="15">
        <f>VLOOKUP($A156,'Список товаров'!A:K,11,0)*D156/1000</f>
        <v>0.7</v>
      </c>
      <c r="Q156" s="4">
        <f>IFERROR((P156/SUMIFS(P:P,O:O,O156)*SUMIFS('BUYER доставка'!L:L,'BUYER доставка'!A:A,O156))/D156,"")</f>
        <v>48.028801249511915</v>
      </c>
      <c r="R156" s="5">
        <f t="shared" si="8"/>
        <v>4255.1212137981347</v>
      </c>
    </row>
    <row r="157" spans="1:18" x14ac:dyDescent="0.3">
      <c r="A157" s="32" t="s">
        <v>132</v>
      </c>
      <c r="B157" t="str">
        <f>VLOOKUP($A157,'Список товаров'!A:E,5,0)</f>
        <v>Камера мгновенной печати Print Camera Розовая Русифицированная</v>
      </c>
      <c r="C157" s="1">
        <v>45835</v>
      </c>
      <c r="D157">
        <v>10</v>
      </c>
      <c r="E157">
        <v>10</v>
      </c>
      <c r="G157" t="b">
        <f>Таблица8[[#This Row],[Количество]]=Таблица8[[#This Row],[Принято]]+Таблица8[[#This Row],[Брак]]</f>
        <v>1</v>
      </c>
      <c r="H157" s="11">
        <v>165</v>
      </c>
      <c r="I157" s="11">
        <f>Таблица8[[#This Row],[Количество]]*Таблица8[[#This Row],[Цена покупки CNY за единицу]]</f>
        <v>1650</v>
      </c>
      <c r="J157" s="57">
        <f>SUMIFS(Курсы_валют!E:E,Курсы_валют!B:B,"CNY")+0.3</f>
        <v>11.6561</v>
      </c>
      <c r="L157" s="57">
        <f>SUMIFS(Курсы_валют!E:E,Курсы_валют!B:B,"USD")</f>
        <v>81.225700000000003</v>
      </c>
      <c r="M157" s="3">
        <f>L157*K157+(Таблица8[[#This Row],[Цена покупки CNY]]*Таблица8[[#This Row],[Курс CNY]])</f>
        <v>19232.565000000002</v>
      </c>
      <c r="N157" s="3">
        <f t="shared" si="7"/>
        <v>1923.2565</v>
      </c>
      <c r="O157" t="s">
        <v>584</v>
      </c>
      <c r="P157" s="15">
        <f>VLOOKUP($A157,'Список товаров'!A:K,11,0)*D157/1000</f>
        <v>2.5</v>
      </c>
      <c r="Q157" s="4">
        <f>IFERROR((P157/SUMIFS(P:P,O:O,O157)*SUMIFS('BUYER доставка'!L:L,'BUYER доставка'!A:A,O157))/D157,"")</f>
        <v>85.765716516985549</v>
      </c>
      <c r="R157" s="5">
        <f t="shared" si="8"/>
        <v>2009.0222165169855</v>
      </c>
    </row>
    <row r="158" spans="1:18" x14ac:dyDescent="0.3">
      <c r="A158" s="32" t="s">
        <v>131</v>
      </c>
      <c r="B158" t="str">
        <f>VLOOKUP($A158,'Список товаров'!A:E,5,0)</f>
        <v>Камера мгновенной печати Print Camera Оранжевая Русифицированная</v>
      </c>
      <c r="C158" s="1">
        <v>45835</v>
      </c>
      <c r="D158">
        <v>25</v>
      </c>
      <c r="E158">
        <v>25</v>
      </c>
      <c r="G158" t="b">
        <f>Таблица8[[#This Row],[Количество]]=Таблица8[[#This Row],[Принято]]+Таблица8[[#This Row],[Брак]]</f>
        <v>1</v>
      </c>
      <c r="H158" s="11">
        <v>165</v>
      </c>
      <c r="I158" s="11">
        <f>Таблица8[[#This Row],[Количество]]*Таблица8[[#This Row],[Цена покупки CNY за единицу]]</f>
        <v>4125</v>
      </c>
      <c r="J158" s="57">
        <f>SUMIFS(Курсы_валют!E:E,Курсы_валют!B:B,"CNY")+0.3</f>
        <v>11.6561</v>
      </c>
      <c r="L158" s="57">
        <f>SUMIFS(Курсы_валют!E:E,Курсы_валют!B:B,"USD")</f>
        <v>81.225700000000003</v>
      </c>
      <c r="M158" s="3">
        <f>L158*K158+(Таблица8[[#This Row],[Цена покупки CNY]]*Таблица8[[#This Row],[Курс CNY]])</f>
        <v>48081.412499999999</v>
      </c>
      <c r="N158" s="3">
        <f t="shared" si="7"/>
        <v>1923.2565</v>
      </c>
      <c r="O158" t="s">
        <v>584</v>
      </c>
      <c r="P158" s="15">
        <f>VLOOKUP($A158,'Список товаров'!A:K,11,0)*D158/1000</f>
        <v>6.25</v>
      </c>
      <c r="Q158" s="4">
        <f>IFERROR((P158/SUMIFS(P:P,O:O,O158)*SUMIFS('BUYER доставка'!L:L,'BUYER доставка'!A:A,O158))/D158,"")</f>
        <v>85.765716516985563</v>
      </c>
      <c r="R158" s="5">
        <f t="shared" si="8"/>
        <v>2009.0222165169855</v>
      </c>
    </row>
    <row r="159" spans="1:18" x14ac:dyDescent="0.3">
      <c r="A159" s="15" t="s">
        <v>589</v>
      </c>
      <c r="B159" t="str">
        <f>VLOOKUP($A159,'Список товаров'!A:E,5,0)</f>
        <v>Строительная техника 4 ед.: Экскаватор, Гусеничный Экскаватор, Самосвал, Бетономешалка</v>
      </c>
      <c r="C159" s="1">
        <v>45835</v>
      </c>
      <c r="D159">
        <v>1</v>
      </c>
      <c r="E159">
        <v>1</v>
      </c>
      <c r="G159" t="b">
        <f>Таблица8[[#This Row],[Количество]]=Таблица8[[#This Row],[Принято]]+Таблица8[[#This Row],[Брак]]</f>
        <v>1</v>
      </c>
      <c r="H159" s="11">
        <v>51</v>
      </c>
      <c r="I159" s="11">
        <f>Таблица8[[#This Row],[Количество]]*Таблица8[[#This Row],[Цена покупки CNY за единицу]]</f>
        <v>51</v>
      </c>
      <c r="J159" s="57">
        <f>SUMIFS(Курсы_валют!E:E,Курсы_валют!B:B,"CNY")+0.3</f>
        <v>11.6561</v>
      </c>
      <c r="L159" s="57">
        <f>SUMIFS(Курсы_валют!E:E,Курсы_валют!B:B,"USD")</f>
        <v>81.225700000000003</v>
      </c>
      <c r="M159" s="3">
        <f>L159*K159+(Таблица8[[#This Row],[Цена покупки CNY]]*Таблица8[[#This Row],[Курс CNY]])</f>
        <v>594.46109999999999</v>
      </c>
      <c r="N159" s="3">
        <f t="shared" si="7"/>
        <v>594.46109999999999</v>
      </c>
      <c r="O159" t="s">
        <v>584</v>
      </c>
      <c r="P159" s="15">
        <f>VLOOKUP($A159,'Список товаров'!A:K,11,0)*D159/1000</f>
        <v>1.05</v>
      </c>
      <c r="Q159" s="4">
        <f>IFERROR((P159/SUMIFS(P:P,O:O,O159)*SUMIFS('BUYER доставка'!L:L,'BUYER доставка'!A:A,O159))/D159,"")</f>
        <v>360.21600937133928</v>
      </c>
      <c r="R159" s="5">
        <f t="shared" si="8"/>
        <v>954.67710937133927</v>
      </c>
    </row>
    <row r="160" spans="1:18" x14ac:dyDescent="0.3">
      <c r="A160" s="15" t="s">
        <v>590</v>
      </c>
      <c r="B160" t="str">
        <f>VLOOKUP($A160,'Список товаров'!A:E,5,0)</f>
        <v>Игровой набор NX292B</v>
      </c>
      <c r="C160" s="1">
        <v>45835</v>
      </c>
      <c r="D160">
        <v>1</v>
      </c>
      <c r="E160">
        <v>1</v>
      </c>
      <c r="G160" t="b">
        <f>Таблица8[[#This Row],[Количество]]=Таблица8[[#This Row],[Принято]]+Таблица8[[#This Row],[Брак]]</f>
        <v>1</v>
      </c>
      <c r="H160" s="11">
        <v>73</v>
      </c>
      <c r="I160" s="11">
        <f>Таблица8[[#This Row],[Количество]]*Таблица8[[#This Row],[Цена покупки CNY за единицу]]</f>
        <v>73</v>
      </c>
      <c r="J160" s="57">
        <f>SUMIFS(Курсы_валют!E:E,Курсы_валют!B:B,"CNY")+0.3</f>
        <v>11.6561</v>
      </c>
      <c r="L160" s="57">
        <f>SUMIFS(Курсы_валют!E:E,Курсы_валют!B:B,"USD")</f>
        <v>81.225700000000003</v>
      </c>
      <c r="M160" s="3">
        <f>L160*K160+(Таблица8[[#This Row],[Цена покупки CNY]]*Таблица8[[#This Row],[Курс CNY]])</f>
        <v>850.89530000000002</v>
      </c>
      <c r="N160" s="3">
        <f t="shared" si="7"/>
        <v>850.89530000000002</v>
      </c>
      <c r="O160" t="s">
        <v>584</v>
      </c>
      <c r="P160" s="15">
        <f>VLOOKUP($A160,'Список товаров'!A:K,11,0)*D160/1000</f>
        <v>1</v>
      </c>
      <c r="Q160" s="4">
        <f>IFERROR((P160/SUMIFS(P:P,O:O,O160)*SUMIFS('BUYER доставка'!L:L,'BUYER доставка'!A:A,O160))/D160,"")</f>
        <v>343.0628660679422</v>
      </c>
      <c r="R160" s="5">
        <f t="shared" si="8"/>
        <v>1193.9581660679423</v>
      </c>
    </row>
    <row r="161" spans="1:18" x14ac:dyDescent="0.3">
      <c r="A161" s="15" t="s">
        <v>592</v>
      </c>
      <c r="B161" t="str">
        <f>VLOOKUP($A161,'Список товаров'!A:E,5,0)</f>
        <v>Игровой набор NX296A</v>
      </c>
      <c r="C161" s="1">
        <v>45835</v>
      </c>
      <c r="D161">
        <v>1</v>
      </c>
      <c r="E161">
        <v>1</v>
      </c>
      <c r="G161" t="b">
        <f>Таблица8[[#This Row],[Количество]]=Таблица8[[#This Row],[Принято]]+Таблица8[[#This Row],[Брак]]</f>
        <v>1</v>
      </c>
      <c r="H161" s="11">
        <v>48</v>
      </c>
      <c r="I161" s="11">
        <f>Таблица8[[#This Row],[Количество]]*Таблица8[[#This Row],[Цена покупки CNY за единицу]]</f>
        <v>48</v>
      </c>
      <c r="J161" s="57">
        <f>SUMIFS(Курсы_валют!E:E,Курсы_валют!B:B,"CNY")+0.3</f>
        <v>11.6561</v>
      </c>
      <c r="L161" s="57">
        <f>SUMIFS(Курсы_валют!E:E,Курсы_валют!B:B,"USD")</f>
        <v>81.225700000000003</v>
      </c>
      <c r="M161" s="3">
        <f>L161*K161+(Таблица8[[#This Row],[Цена покупки CNY]]*Таблица8[[#This Row],[Курс CNY]])</f>
        <v>559.49279999999999</v>
      </c>
      <c r="N161" s="3">
        <f t="shared" si="7"/>
        <v>559.49279999999999</v>
      </c>
      <c r="O161" t="s">
        <v>584</v>
      </c>
      <c r="P161" s="15">
        <f>VLOOKUP($A161,'Список товаров'!A:K,11,0)*D161/1000</f>
        <v>1</v>
      </c>
      <c r="Q161" s="4">
        <f>IFERROR((P161/SUMIFS(P:P,O:O,O161)*SUMIFS('BUYER доставка'!L:L,'BUYER доставка'!A:A,O161))/D161,"")</f>
        <v>343.0628660679422</v>
      </c>
      <c r="R161" s="5">
        <f t="shared" si="8"/>
        <v>902.55566606794218</v>
      </c>
    </row>
    <row r="162" spans="1:18" x14ac:dyDescent="0.3">
      <c r="A162" s="32" t="s">
        <v>160</v>
      </c>
      <c r="B162" t="str">
        <f>VLOOKUP($A162,'Список товаров'!A:E,5,0)</f>
        <v>Игрушка контейнер грузовой серый</v>
      </c>
      <c r="C162" s="1">
        <v>45835</v>
      </c>
      <c r="D162">
        <v>5</v>
      </c>
      <c r="E162">
        <v>5</v>
      </c>
      <c r="G162" t="b">
        <f>Таблица8[[#This Row],[Количество]]=Таблица8[[#This Row],[Принято]]+Таблица8[[#This Row],[Брак]]</f>
        <v>1</v>
      </c>
      <c r="H162" s="11">
        <v>20</v>
      </c>
      <c r="I162" s="11">
        <f>Таблица8[[#This Row],[Количество]]*Таблица8[[#This Row],[Цена покупки CNY за единицу]]</f>
        <v>100</v>
      </c>
      <c r="J162" s="57">
        <f>SUMIFS(Курсы_валют!E:E,Курсы_валют!B:B,"CNY")+0.3</f>
        <v>11.6561</v>
      </c>
      <c r="L162" s="57">
        <f>SUMIFS(Курсы_валют!E:E,Курсы_валют!B:B,"USD")</f>
        <v>81.225700000000003</v>
      </c>
      <c r="M162" s="3">
        <f>L162*K162+(Таблица8[[#This Row],[Цена покупки CNY]]*Таблица8[[#This Row],[Курс CNY]])</f>
        <v>1165.6100000000001</v>
      </c>
      <c r="N162" s="3">
        <f t="shared" si="7"/>
        <v>233.12200000000001</v>
      </c>
      <c r="O162" t="s">
        <v>584</v>
      </c>
      <c r="P162" s="15">
        <f>VLOOKUP($A162,'Список товаров'!A:K,11,0)*D162/1000</f>
        <v>1.25</v>
      </c>
      <c r="Q162" s="4">
        <f>IFERROR((P162/SUMIFS(P:P,O:O,O162)*SUMIFS('BUYER доставка'!L:L,'BUYER доставка'!A:A,O162))/D162,"")</f>
        <v>85.765716516985549</v>
      </c>
      <c r="R162" s="5">
        <f t="shared" si="8"/>
        <v>318.88771651698556</v>
      </c>
    </row>
    <row r="163" spans="1:18" x14ac:dyDescent="0.3">
      <c r="A163" s="32" t="s">
        <v>134</v>
      </c>
      <c r="B163" t="str">
        <f>VLOOKUP($A163,'Список товаров'!A:E,5,0)</f>
        <v>Металлическая модель грузовика Мерседес серо-голубой с прицепом, иннерционная, 31см, звук и свет</v>
      </c>
      <c r="C163" s="1">
        <v>45835</v>
      </c>
      <c r="D163">
        <v>5</v>
      </c>
      <c r="E163">
        <v>5</v>
      </c>
      <c r="G163" t="b">
        <f>Таблица8[[#This Row],[Количество]]=Таблица8[[#This Row],[Принято]]+Таблица8[[#This Row],[Брак]]</f>
        <v>1</v>
      </c>
      <c r="H163" s="11">
        <v>33.5</v>
      </c>
      <c r="I163" s="11">
        <f>Таблица8[[#This Row],[Количество]]*Таблица8[[#This Row],[Цена покупки CNY за единицу]]</f>
        <v>167.5</v>
      </c>
      <c r="J163" s="57">
        <f>SUMIFS(Курсы_валют!E:E,Курсы_валют!B:B,"CNY")+0.3</f>
        <v>11.6561</v>
      </c>
      <c r="L163" s="57">
        <f>SUMIFS(Курсы_валют!E:E,Курсы_валют!B:B,"USD")</f>
        <v>81.225700000000003</v>
      </c>
      <c r="M163" s="3">
        <f>L163*K163+(Таблица8[[#This Row],[Цена покупки CNY]]*Таблица8[[#This Row],[Курс CNY]])</f>
        <v>1952.3967500000001</v>
      </c>
      <c r="N163" s="3">
        <f t="shared" si="7"/>
        <v>390.47935000000001</v>
      </c>
      <c r="O163" t="s">
        <v>584</v>
      </c>
      <c r="P163" s="15">
        <f>VLOOKUP($A163,'Список товаров'!A:K,11,0)*D163/1000</f>
        <v>2.5</v>
      </c>
      <c r="Q163" s="4">
        <f>IFERROR((P163/SUMIFS(P:P,O:O,O163)*SUMIFS('BUYER доставка'!L:L,'BUYER доставка'!A:A,O163))/D163,"")</f>
        <v>171.5314330339711</v>
      </c>
      <c r="R163" s="5">
        <f t="shared" si="8"/>
        <v>562.01078303397117</v>
      </c>
    </row>
    <row r="164" spans="1:18" x14ac:dyDescent="0.3">
      <c r="A164" s="32" t="s">
        <v>150</v>
      </c>
      <c r="B164" t="str">
        <f>VLOOKUP($A164,'Список товаров'!A:E,5,0)</f>
        <v>Металлическая модель грузовика Мерседес синий с прицепом, иннерционная, 31см, звук и свет</v>
      </c>
      <c r="C164" s="1">
        <v>45835</v>
      </c>
      <c r="D164">
        <v>15</v>
      </c>
      <c r="E164">
        <v>15</v>
      </c>
      <c r="G164" t="b">
        <f>Таблица8[[#This Row],[Количество]]=Таблица8[[#This Row],[Принято]]+Таблица8[[#This Row],[Брак]]</f>
        <v>1</v>
      </c>
      <c r="H164" s="11">
        <v>33.5</v>
      </c>
      <c r="I164" s="11">
        <f>Таблица8[[#This Row],[Количество]]*Таблица8[[#This Row],[Цена покупки CNY за единицу]]</f>
        <v>502.5</v>
      </c>
      <c r="J164" s="57">
        <f>SUMIFS(Курсы_валют!E:E,Курсы_валют!B:B,"CNY")+0.3</f>
        <v>11.6561</v>
      </c>
      <c r="L164" s="57">
        <f>SUMIFS(Курсы_валют!E:E,Курсы_валют!B:B,"USD")</f>
        <v>81.225700000000003</v>
      </c>
      <c r="M164" s="3">
        <f>L164*K164+(Таблица8[[#This Row],[Цена покупки CNY]]*Таблица8[[#This Row],[Курс CNY]])</f>
        <v>5857.1902500000006</v>
      </c>
      <c r="N164" s="3">
        <f t="shared" si="7"/>
        <v>390.47935000000001</v>
      </c>
      <c r="O164" t="s">
        <v>584</v>
      </c>
      <c r="P164" s="15">
        <f>VLOOKUP($A164,'Список товаров'!A:K,11,0)*D164/1000</f>
        <v>7.5</v>
      </c>
      <c r="Q164" s="4">
        <f>IFERROR((P164/SUMIFS(P:P,O:O,O164)*SUMIFS('BUYER доставка'!L:L,'BUYER доставка'!A:A,O164))/D164,"")</f>
        <v>171.5314330339711</v>
      </c>
      <c r="R164" s="5">
        <f t="shared" si="8"/>
        <v>562.01078303397117</v>
      </c>
    </row>
    <row r="165" spans="1:18" x14ac:dyDescent="0.3">
      <c r="A165" s="32" t="s">
        <v>145</v>
      </c>
      <c r="B165" t="str">
        <f>VLOOKUP($A165,'Список товаров'!A:E,5,0)</f>
        <v>Металлическая модель автовоза белая, инерционная, 41 см</v>
      </c>
      <c r="C165" s="1">
        <v>45835</v>
      </c>
      <c r="D165">
        <v>10</v>
      </c>
      <c r="E165">
        <v>10</v>
      </c>
      <c r="G165" t="b">
        <f>Таблица8[[#This Row],[Количество]]=Таблица8[[#This Row],[Принято]]+Таблица8[[#This Row],[Брак]]</f>
        <v>1</v>
      </c>
      <c r="H165" s="11">
        <v>31.5</v>
      </c>
      <c r="I165" s="11">
        <f>Таблица8[[#This Row],[Количество]]*Таблица8[[#This Row],[Цена покупки CNY за единицу]]</f>
        <v>315</v>
      </c>
      <c r="J165" s="57">
        <f>SUMIFS(Курсы_валют!E:E,Курсы_валют!B:B,"CNY")+0.3</f>
        <v>11.6561</v>
      </c>
      <c r="L165" s="57">
        <f>SUMIFS(Курсы_валют!E:E,Курсы_валют!B:B,"USD")</f>
        <v>81.225700000000003</v>
      </c>
      <c r="M165" s="3">
        <f>L165*K165+(Таблица8[[#This Row],[Цена покупки CNY]]*Таблица8[[#This Row],[Курс CNY]])</f>
        <v>3671.6714999999999</v>
      </c>
      <c r="N165" s="3">
        <f t="shared" si="7"/>
        <v>367.16714999999999</v>
      </c>
      <c r="O165" t="s">
        <v>584</v>
      </c>
      <c r="P165" s="15">
        <f>VLOOKUP($A165,'Список товаров'!A:K,11,0)*D165/1000</f>
        <v>5</v>
      </c>
      <c r="Q165" s="4">
        <f>IFERROR((P165/SUMIFS(P:P,O:O,O165)*SUMIFS('BUYER доставка'!L:L,'BUYER доставка'!A:A,O165))/D165,"")</f>
        <v>171.5314330339711</v>
      </c>
      <c r="R165" s="5">
        <f t="shared" si="8"/>
        <v>538.69858303397109</v>
      </c>
    </row>
    <row r="166" spans="1:18" x14ac:dyDescent="0.3">
      <c r="A166" s="32" t="s">
        <v>159</v>
      </c>
      <c r="B166" t="str">
        <f>VLOOKUP($A166,'Список товаров'!A:E,5,0)</f>
        <v>Игрушка контейнер грузовой коричневый</v>
      </c>
      <c r="C166" s="1">
        <v>45835</v>
      </c>
      <c r="D166">
        <v>20</v>
      </c>
      <c r="E166">
        <v>20</v>
      </c>
      <c r="G166" t="b">
        <f>Таблица8[[#This Row],[Количество]]=Таблица8[[#This Row],[Принято]]+Таблица8[[#This Row],[Брак]]</f>
        <v>1</v>
      </c>
      <c r="H166" s="11">
        <v>20</v>
      </c>
      <c r="I166" s="11">
        <f>Таблица8[[#This Row],[Количество]]*Таблица8[[#This Row],[Цена покупки CNY за единицу]]</f>
        <v>400</v>
      </c>
      <c r="J166" s="57">
        <f>SUMIFS(Курсы_валют!E:E,Курсы_валют!B:B,"CNY")+0.3</f>
        <v>11.6561</v>
      </c>
      <c r="L166" s="57">
        <f>SUMIFS(Курсы_валют!E:E,Курсы_валют!B:B,"USD")</f>
        <v>81.225700000000003</v>
      </c>
      <c r="M166" s="3">
        <f>L166*K166+(Таблица8[[#This Row],[Цена покупки CNY]]*Таблица8[[#This Row],[Курс CNY]])</f>
        <v>4662.4400000000005</v>
      </c>
      <c r="N166" s="3">
        <f t="shared" si="7"/>
        <v>233.12200000000001</v>
      </c>
      <c r="O166" t="s">
        <v>584</v>
      </c>
      <c r="P166" s="15">
        <f>VLOOKUP($A166,'Список товаров'!A:K,11,0)*D166/1000</f>
        <v>5</v>
      </c>
      <c r="Q166" s="4">
        <f>IFERROR((P166/SUMIFS(P:P,O:O,O166)*SUMIFS('BUYER доставка'!L:L,'BUYER доставка'!A:A,O166))/D166,"")</f>
        <v>85.765716516985549</v>
      </c>
      <c r="R166" s="5">
        <f t="shared" si="8"/>
        <v>318.88771651698556</v>
      </c>
    </row>
    <row r="167" spans="1:18" x14ac:dyDescent="0.3">
      <c r="A167" s="32" t="s">
        <v>151</v>
      </c>
      <c r="B167" t="str">
        <f>VLOOKUP($A167,'Список товаров'!A:E,5,0)</f>
        <v>Металлическая модель грузовика Мерседес бело-синий с прицепом, иннерционная, 31см, звук и свет</v>
      </c>
      <c r="C167" s="1">
        <v>45835</v>
      </c>
      <c r="D167">
        <v>5</v>
      </c>
      <c r="E167">
        <v>5</v>
      </c>
      <c r="G167" t="b">
        <f>Таблица8[[#This Row],[Количество]]=Таблица8[[#This Row],[Принято]]+Таблица8[[#This Row],[Брак]]</f>
        <v>1</v>
      </c>
      <c r="H167" s="11">
        <v>33.5</v>
      </c>
      <c r="I167" s="11">
        <f>Таблица8[[#This Row],[Количество]]*Таблица8[[#This Row],[Цена покупки CNY за единицу]]</f>
        <v>167.5</v>
      </c>
      <c r="J167" s="57">
        <f>SUMIFS(Курсы_валют!E:E,Курсы_валют!B:B,"CNY")+0.3</f>
        <v>11.6561</v>
      </c>
      <c r="L167" s="57">
        <f>SUMIFS(Курсы_валют!E:E,Курсы_валют!B:B,"USD")</f>
        <v>81.225700000000003</v>
      </c>
      <c r="M167" s="3">
        <f>L167*K167+(Таблица8[[#This Row],[Цена покупки CNY]]*Таблица8[[#This Row],[Курс CNY]])</f>
        <v>1952.3967500000001</v>
      </c>
      <c r="N167" s="3">
        <f t="shared" ref="N167:N218" si="9">J167*H167</f>
        <v>390.47935000000001</v>
      </c>
      <c r="O167" t="s">
        <v>584</v>
      </c>
      <c r="P167" s="15">
        <f>VLOOKUP($A167,'Список товаров'!A:K,11,0)*D167/1000</f>
        <v>2.5</v>
      </c>
      <c r="Q167" s="4">
        <f>IFERROR((P167/SUMIFS(P:P,O:O,O167)*SUMIFS('BUYER доставка'!L:L,'BUYER доставка'!A:A,O167))/D167,"")</f>
        <v>171.5314330339711</v>
      </c>
      <c r="R167" s="5">
        <f t="shared" si="8"/>
        <v>562.01078303397117</v>
      </c>
    </row>
    <row r="168" spans="1:18" x14ac:dyDescent="0.3">
      <c r="A168" s="32" t="s">
        <v>148</v>
      </c>
      <c r="B168" t="str">
        <f>VLOOKUP($A168,'Список товаров'!A:E,5,0)</f>
        <v>Металлическая модель грузовика Мерседес черно-серый с прицепом, иннерционная, 31см, звук и свет</v>
      </c>
      <c r="C168" s="1">
        <v>45835</v>
      </c>
      <c r="D168">
        <v>15</v>
      </c>
      <c r="E168">
        <v>15</v>
      </c>
      <c r="G168" t="b">
        <f>Таблица8[[#This Row],[Количество]]=Таблица8[[#This Row],[Принято]]+Таблица8[[#This Row],[Брак]]</f>
        <v>1</v>
      </c>
      <c r="H168" s="11">
        <v>33.5</v>
      </c>
      <c r="I168" s="11">
        <f>Таблица8[[#This Row],[Количество]]*Таблица8[[#This Row],[Цена покупки CNY за единицу]]</f>
        <v>502.5</v>
      </c>
      <c r="J168" s="57">
        <f>SUMIFS(Курсы_валют!E:E,Курсы_валют!B:B,"CNY")+0.3</f>
        <v>11.6561</v>
      </c>
      <c r="L168" s="57">
        <f>SUMIFS(Курсы_валют!E:E,Курсы_валют!B:B,"USD")</f>
        <v>81.225700000000003</v>
      </c>
      <c r="M168" s="3">
        <f>L168*K168+(Таблица8[[#This Row],[Цена покупки CNY]]*Таблица8[[#This Row],[Курс CNY]])</f>
        <v>5857.1902500000006</v>
      </c>
      <c r="N168" s="3">
        <f t="shared" si="9"/>
        <v>390.47935000000001</v>
      </c>
      <c r="O168" t="s">
        <v>584</v>
      </c>
      <c r="P168" s="15">
        <f>VLOOKUP($A168,'Список товаров'!A:K,11,0)*D168/1000</f>
        <v>7.5</v>
      </c>
      <c r="Q168" s="4">
        <f>IFERROR((P168/SUMIFS(P:P,O:O,O168)*SUMIFS('BUYER доставка'!L:L,'BUYER доставка'!A:A,O168))/D168,"")</f>
        <v>171.5314330339711</v>
      </c>
      <c r="R168" s="5">
        <f t="shared" si="8"/>
        <v>562.01078303397117</v>
      </c>
    </row>
    <row r="169" spans="1:18" x14ac:dyDescent="0.3">
      <c r="A169" s="32" t="s">
        <v>154</v>
      </c>
      <c r="B169" t="str">
        <f>VLOOKUP($A169,'Список товаров'!A:E,5,0)</f>
        <v>Металлическая модель грузовика Мерседес черно-коричневый с прицепом, иннерционная, 31см, звук и свет</v>
      </c>
      <c r="C169" s="1">
        <v>45835</v>
      </c>
      <c r="D169">
        <v>1</v>
      </c>
      <c r="E169">
        <v>1</v>
      </c>
      <c r="G169" t="b">
        <f>Таблица8[[#This Row],[Количество]]=Таблица8[[#This Row],[Принято]]+Таблица8[[#This Row],[Брак]]</f>
        <v>1</v>
      </c>
      <c r="H169" s="11">
        <v>33.5</v>
      </c>
      <c r="I169" s="11">
        <f>Таблица8[[#This Row],[Количество]]*Таблица8[[#This Row],[Цена покупки CNY за единицу]]</f>
        <v>33.5</v>
      </c>
      <c r="J169" s="57">
        <f>SUMIFS(Курсы_валют!E:E,Курсы_валют!B:B,"CNY")+0.3</f>
        <v>11.6561</v>
      </c>
      <c r="L169" s="57">
        <f>SUMIFS(Курсы_валют!E:E,Курсы_валют!B:B,"USD")</f>
        <v>81.225700000000003</v>
      </c>
      <c r="M169" s="3">
        <f>L169*K169+(Таблица8[[#This Row],[Цена покупки CNY]]*Таблица8[[#This Row],[Курс CNY]])</f>
        <v>390.47935000000001</v>
      </c>
      <c r="N169" s="3">
        <f t="shared" si="9"/>
        <v>390.47935000000001</v>
      </c>
      <c r="O169" t="s">
        <v>584</v>
      </c>
      <c r="P169" s="15">
        <f>VLOOKUP($A169,'Список товаров'!A:K,11,0)*D169/1000</f>
        <v>0.5</v>
      </c>
      <c r="Q169" s="4">
        <f>IFERROR((P169/SUMIFS(P:P,O:O,O169)*SUMIFS('BUYER доставка'!L:L,'BUYER доставка'!A:A,O169))/D169,"")</f>
        <v>171.5314330339711</v>
      </c>
      <c r="R169" s="5">
        <f t="shared" si="8"/>
        <v>562.01078303397117</v>
      </c>
    </row>
    <row r="170" spans="1:18" x14ac:dyDescent="0.3">
      <c r="A170" s="32" t="s">
        <v>146</v>
      </c>
      <c r="B170" t="str">
        <f>VLOOKUP($A170,'Список товаров'!A:E,5,0)</f>
        <v>Металлическая модель грузовика Мерседес бело-серый с прицепом, иннерционная, 31см, звук и свет</v>
      </c>
      <c r="C170" s="1">
        <v>45835</v>
      </c>
      <c r="D170">
        <v>5</v>
      </c>
      <c r="E170">
        <v>5</v>
      </c>
      <c r="G170" t="b">
        <f>Таблица8[[#This Row],[Количество]]=Таблица8[[#This Row],[Принято]]+Таблица8[[#This Row],[Брак]]</f>
        <v>1</v>
      </c>
      <c r="H170" s="11">
        <v>33.5</v>
      </c>
      <c r="I170" s="11">
        <f>Таблица8[[#This Row],[Количество]]*Таблица8[[#This Row],[Цена покупки CNY за единицу]]</f>
        <v>167.5</v>
      </c>
      <c r="J170" s="57">
        <f>SUMIFS(Курсы_валют!E:E,Курсы_валют!B:B,"CNY")+0.3</f>
        <v>11.6561</v>
      </c>
      <c r="L170" s="57">
        <f>SUMIFS(Курсы_валют!E:E,Курсы_валют!B:B,"USD")</f>
        <v>81.225700000000003</v>
      </c>
      <c r="M170" s="3">
        <f>L170*K170+(Таблица8[[#This Row],[Цена покупки CNY]]*Таблица8[[#This Row],[Курс CNY]])</f>
        <v>1952.3967500000001</v>
      </c>
      <c r="N170" s="3">
        <f t="shared" si="9"/>
        <v>390.47935000000001</v>
      </c>
      <c r="O170" t="s">
        <v>584</v>
      </c>
      <c r="P170" s="15">
        <f>VLOOKUP($A170,'Список товаров'!A:K,11,0)*D170/1000</f>
        <v>2.5</v>
      </c>
      <c r="Q170" s="4">
        <f>IFERROR((P170/SUMIFS(P:P,O:O,O170)*SUMIFS('BUYER доставка'!L:L,'BUYER доставка'!A:A,O170))/D170,"")</f>
        <v>171.5314330339711</v>
      </c>
      <c r="R170" s="5">
        <f t="shared" si="8"/>
        <v>562.01078303397117</v>
      </c>
    </row>
    <row r="171" spans="1:18" x14ac:dyDescent="0.3">
      <c r="A171" s="32" t="s">
        <v>152</v>
      </c>
      <c r="B171" t="str">
        <f>VLOOKUP($A171,'Список товаров'!A:E,5,0)</f>
        <v>Металлическая модель грузовика Мерседес сине-желтый с прицепом, иннерционная, 31см, звук и свет</v>
      </c>
      <c r="C171" s="1">
        <v>45835</v>
      </c>
      <c r="D171">
        <v>5</v>
      </c>
      <c r="E171">
        <v>5</v>
      </c>
      <c r="G171" t="b">
        <f>Таблица8[[#This Row],[Количество]]=Таблица8[[#This Row],[Принято]]+Таблица8[[#This Row],[Брак]]</f>
        <v>1</v>
      </c>
      <c r="H171" s="11">
        <v>33.5</v>
      </c>
      <c r="I171" s="11">
        <f>Таблица8[[#This Row],[Количество]]*Таблица8[[#This Row],[Цена покупки CNY за единицу]]</f>
        <v>167.5</v>
      </c>
      <c r="J171" s="57">
        <f>SUMIFS(Курсы_валют!E:E,Курсы_валют!B:B,"CNY")+0.3</f>
        <v>11.6561</v>
      </c>
      <c r="L171" s="57">
        <f>SUMIFS(Курсы_валют!E:E,Курсы_валют!B:B,"USD")</f>
        <v>81.225700000000003</v>
      </c>
      <c r="M171" s="3">
        <f>L171*K171+(Таблица8[[#This Row],[Цена покупки CNY]]*Таблица8[[#This Row],[Курс CNY]])</f>
        <v>1952.3967500000001</v>
      </c>
      <c r="N171" s="3">
        <f t="shared" si="9"/>
        <v>390.47935000000001</v>
      </c>
      <c r="O171" t="s">
        <v>584</v>
      </c>
      <c r="P171" s="15">
        <f>VLOOKUP($A171,'Список товаров'!A:K,11,0)*D171/1000</f>
        <v>2.5</v>
      </c>
      <c r="Q171" s="4">
        <f>IFERROR((P171/SUMIFS(P:P,O:O,O171)*SUMIFS('BUYER доставка'!L:L,'BUYER доставка'!A:A,O171))/D171,"")</f>
        <v>171.5314330339711</v>
      </c>
      <c r="R171" s="5">
        <f t="shared" si="8"/>
        <v>562.01078303397117</v>
      </c>
    </row>
    <row r="172" spans="1:18" x14ac:dyDescent="0.3">
      <c r="A172" s="32" t="s">
        <v>143</v>
      </c>
      <c r="B172" t="str">
        <f>VLOOKUP($A172,'Список товаров'!A:E,5,0)</f>
        <v>Металлическая модель автовоза черная, инерционная, 41 см</v>
      </c>
      <c r="C172" s="1">
        <v>45835</v>
      </c>
      <c r="D172">
        <v>10</v>
      </c>
      <c r="E172">
        <v>8</v>
      </c>
      <c r="F172">
        <v>2</v>
      </c>
      <c r="G172" t="b">
        <f>Таблица8[[#This Row],[Количество]]=Таблица8[[#This Row],[Принято]]+Таблица8[[#This Row],[Брак]]</f>
        <v>1</v>
      </c>
      <c r="H172" s="11">
        <v>31.5</v>
      </c>
      <c r="I172" s="11">
        <f>Таблица8[[#This Row],[Количество]]*Таблица8[[#This Row],[Цена покупки CNY за единицу]]</f>
        <v>315</v>
      </c>
      <c r="J172" s="57">
        <f>SUMIFS(Курсы_валют!E:E,Курсы_валют!B:B,"CNY")+0.3</f>
        <v>11.6561</v>
      </c>
      <c r="L172" s="57">
        <f>SUMIFS(Курсы_валют!E:E,Курсы_валют!B:B,"USD")</f>
        <v>81.225700000000003</v>
      </c>
      <c r="M172" s="3">
        <f>L172*K172+(Таблица8[[#This Row],[Цена покупки CNY]]*Таблица8[[#This Row],[Курс CNY]])</f>
        <v>3671.6714999999999</v>
      </c>
      <c r="N172" s="3">
        <f t="shared" si="9"/>
        <v>367.16714999999999</v>
      </c>
      <c r="O172" t="s">
        <v>584</v>
      </c>
      <c r="P172" s="15">
        <f>VLOOKUP($A172,'Список товаров'!A:K,11,0)*D172/1000</f>
        <v>5</v>
      </c>
      <c r="Q172" s="4">
        <f>IFERROR((P172/SUMIFS(P:P,O:O,O172)*SUMIFS('BUYER доставка'!L:L,'BUYER доставка'!A:A,O172))/D172,"")</f>
        <v>171.5314330339711</v>
      </c>
      <c r="R172" s="5">
        <f t="shared" si="8"/>
        <v>538.69858303397109</v>
      </c>
    </row>
    <row r="173" spans="1:18" x14ac:dyDescent="0.3">
      <c r="A173" s="32" t="s">
        <v>156</v>
      </c>
      <c r="B173" t="str">
        <f>VLOOKUP($A173,'Список товаров'!A:E,5,0)</f>
        <v>Игрушка контейнер грузовой желтый</v>
      </c>
      <c r="C173" s="1">
        <v>45835</v>
      </c>
      <c r="D173">
        <v>10</v>
      </c>
      <c r="E173">
        <v>10</v>
      </c>
      <c r="G173" t="b">
        <f>Таблица8[[#This Row],[Количество]]=Таблица8[[#This Row],[Принято]]+Таблица8[[#This Row],[Брак]]</f>
        <v>1</v>
      </c>
      <c r="H173" s="11">
        <v>20</v>
      </c>
      <c r="I173" s="11">
        <f>Таблица8[[#This Row],[Количество]]*Таблица8[[#This Row],[Цена покупки CNY за единицу]]</f>
        <v>200</v>
      </c>
      <c r="J173" s="57">
        <f>SUMIFS(Курсы_валют!E:E,Курсы_валют!B:B,"CNY")+0.3</f>
        <v>11.6561</v>
      </c>
      <c r="L173" s="57">
        <f>SUMIFS(Курсы_валют!E:E,Курсы_валют!B:B,"USD")</f>
        <v>81.225700000000003</v>
      </c>
      <c r="M173" s="3">
        <f>L173*K173+(Таблица8[[#This Row],[Цена покупки CNY]]*Таблица8[[#This Row],[Курс CNY]])</f>
        <v>2331.2200000000003</v>
      </c>
      <c r="N173" s="3">
        <f t="shared" si="9"/>
        <v>233.12200000000001</v>
      </c>
      <c r="O173" t="s">
        <v>584</v>
      </c>
      <c r="P173" s="15">
        <f>VLOOKUP($A173,'Список товаров'!A:K,11,0)*D173/1000</f>
        <v>2.5</v>
      </c>
      <c r="Q173" s="4">
        <f>IFERROR((P173/SUMIFS(P:P,O:O,O173)*SUMIFS('BUYER доставка'!L:L,'BUYER доставка'!A:A,O173))/D173,"")</f>
        <v>85.765716516985549</v>
      </c>
      <c r="R173" s="5">
        <f t="shared" si="8"/>
        <v>318.88771651698556</v>
      </c>
    </row>
    <row r="174" spans="1:18" x14ac:dyDescent="0.3">
      <c r="A174" s="44" t="s">
        <v>139</v>
      </c>
      <c r="B174" t="str">
        <f>VLOOKUP($A174,'Список товаров'!A:E,5,0)</f>
        <v>Металлическая модель грузовика Мерседес черно-желтый с прицепом, иннерционная, 31см, звук и свет</v>
      </c>
      <c r="C174" s="51">
        <v>45835</v>
      </c>
      <c r="D174">
        <v>4</v>
      </c>
      <c r="E174">
        <v>4</v>
      </c>
      <c r="G174" t="b">
        <f>Таблица8[[#This Row],[Количество]]=Таблица8[[#This Row],[Принято]]+Таблица8[[#This Row],[Брак]]</f>
        <v>1</v>
      </c>
      <c r="H174" s="11">
        <v>33.5</v>
      </c>
      <c r="I174" s="11">
        <f>Таблица8[[#This Row],[Количество]]*Таблица8[[#This Row],[Цена покупки CNY за единицу]]</f>
        <v>134</v>
      </c>
      <c r="J174" s="57">
        <f>SUMIFS(Курсы_валют!E:E,Курсы_валют!B:B,"CNY")+0.3</f>
        <v>11.6561</v>
      </c>
      <c r="L174" s="57">
        <f>SUMIFS(Курсы_валют!E:E,Курсы_валют!B:B,"USD")</f>
        <v>81.225700000000003</v>
      </c>
      <c r="M174" s="3">
        <f>L174*K174+(Таблица8[[#This Row],[Цена покупки CNY]]*Таблица8[[#This Row],[Курс CNY]])</f>
        <v>1561.9174</v>
      </c>
      <c r="N174" s="3">
        <f t="shared" si="9"/>
        <v>390.47935000000001</v>
      </c>
      <c r="O174" t="s">
        <v>584</v>
      </c>
      <c r="P174" s="15">
        <f>VLOOKUP($A174,'Список товаров'!A:K,11,0)*D174/1000</f>
        <v>2</v>
      </c>
      <c r="Q174" s="4">
        <f>IFERROR((P174/SUMIFS(P:P,O:O,O174)*SUMIFS('BUYER доставка'!L:L,'BUYER доставка'!A:A,O174))/D174,"")</f>
        <v>171.5314330339711</v>
      </c>
      <c r="R174" s="5">
        <f t="shared" si="8"/>
        <v>562.01078303397117</v>
      </c>
    </row>
    <row r="175" spans="1:18" x14ac:dyDescent="0.3">
      <c r="A175" s="49" t="s">
        <v>160</v>
      </c>
      <c r="B175" s="50" t="str">
        <f>VLOOKUP($A175,'Список товаров'!A:E,5,0)</f>
        <v>Игрушка контейнер грузовой серый</v>
      </c>
      <c r="C175" s="51">
        <v>45917</v>
      </c>
      <c r="D175" s="50">
        <v>20</v>
      </c>
      <c r="E175" s="50"/>
      <c r="F175" s="50"/>
      <c r="G175" s="46" t="b">
        <f>Таблица8[[#This Row],[Количество]]=Таблица8[[#This Row],[Принято]]+Таблица8[[#This Row],[Брак]]</f>
        <v>0</v>
      </c>
      <c r="H175" s="11">
        <v>19</v>
      </c>
      <c r="I175" s="11">
        <f>Таблица8[[#This Row],[Количество]]*Таблица8[[#This Row],[Цена покупки CNY за единицу]]</f>
        <v>380</v>
      </c>
      <c r="J175" s="57">
        <f>SUMIFS(Курсы_валют!E:E,Курсы_валют!B:B,"CNY")+0.3</f>
        <v>11.6561</v>
      </c>
      <c r="L175" s="57">
        <f>SUMIFS(Курсы_валют!E:E,Курсы_валют!B:B,"USD")</f>
        <v>81.225700000000003</v>
      </c>
      <c r="M175" s="3">
        <f>L175*K175+(Таблица8[[#This Row],[Цена покупки CNY]]*Таблица8[[#This Row],[Курс CNY]])</f>
        <v>4429.3180000000002</v>
      </c>
      <c r="N175" s="3">
        <f t="shared" si="9"/>
        <v>221.4659</v>
      </c>
      <c r="O175" t="s">
        <v>668</v>
      </c>
      <c r="P175" s="15">
        <f>VLOOKUP($A175,'Список товаров'!A:K,11,0)*D175/1000</f>
        <v>5</v>
      </c>
      <c r="Q175" s="4">
        <f>IFERROR((P175/SUMIFS(P:P,O:O,O175)*SUMIFS('BUYER доставка'!L:L,'BUYER доставка'!A:A,O175))/D175,"")</f>
        <v>82.805497692434457</v>
      </c>
      <c r="R175" s="5">
        <f t="shared" si="8"/>
        <v>304.27139769243445</v>
      </c>
    </row>
    <row r="176" spans="1:18" x14ac:dyDescent="0.3">
      <c r="A176" s="49" t="s">
        <v>157</v>
      </c>
      <c r="B176" s="50" t="str">
        <f>VLOOKUP($A176,'Список товаров'!A:E,5,0)</f>
        <v>Металлическая модель инерционная, тягач синий, свет и звук</v>
      </c>
      <c r="C176" s="51">
        <v>45917</v>
      </c>
      <c r="D176" s="50">
        <v>5</v>
      </c>
      <c r="E176" s="50"/>
      <c r="F176" s="50"/>
      <c r="G176" s="46" t="b">
        <f>Таблица8[[#This Row],[Количество]]=Таблица8[[#This Row],[Принято]]+Таблица8[[#This Row],[Брак]]</f>
        <v>0</v>
      </c>
      <c r="H176" s="11">
        <v>14.73</v>
      </c>
      <c r="I176" s="11">
        <f>Таблица8[[#This Row],[Количество]]*Таблица8[[#This Row],[Цена покупки CNY за единицу]]</f>
        <v>73.650000000000006</v>
      </c>
      <c r="J176" s="57">
        <f>SUMIFS(Курсы_валют!E:E,Курсы_валют!B:B,"CNY")+0.3</f>
        <v>11.6561</v>
      </c>
      <c r="L176" s="57">
        <f>SUMIFS(Курсы_валют!E:E,Курсы_валют!B:B,"USD")</f>
        <v>81.225700000000003</v>
      </c>
      <c r="M176" s="3">
        <f>L176*K176+(Таблица8[[#This Row],[Цена покупки CNY]]*Таблица8[[#This Row],[Курс CNY]])</f>
        <v>858.47176500000012</v>
      </c>
      <c r="N176" s="3">
        <f t="shared" si="9"/>
        <v>171.69435300000001</v>
      </c>
      <c r="O176" t="s">
        <v>668</v>
      </c>
      <c r="P176" s="15">
        <f>VLOOKUP($A176,'Список товаров'!A:K,11,0)*D176/1000</f>
        <v>1.25</v>
      </c>
      <c r="Q176" s="4">
        <f>IFERROR((P176/SUMIFS(P:P,O:O,O176)*SUMIFS('BUYER доставка'!L:L,'BUYER доставка'!A:A,O176))/D176,"")</f>
        <v>82.805497692434457</v>
      </c>
      <c r="R176" s="5">
        <f t="shared" si="8"/>
        <v>254.49985069243445</v>
      </c>
    </row>
    <row r="177" spans="1:18" x14ac:dyDescent="0.3">
      <c r="A177" s="49" t="s">
        <v>134</v>
      </c>
      <c r="B177" s="50" t="str">
        <f>VLOOKUP($A177,'Список товаров'!A:E,5,0)</f>
        <v>Металлическая модель грузовика Мерседес серо-голубой с прицепом, иннерционная, 31см, звук и свет</v>
      </c>
      <c r="C177" s="51">
        <v>45917</v>
      </c>
      <c r="D177" s="50">
        <v>10</v>
      </c>
      <c r="E177" s="50"/>
      <c r="F177" s="50"/>
      <c r="G177" s="46" t="b">
        <f>Таблица8[[#This Row],[Количество]]=Таблица8[[#This Row],[Принято]]+Таблица8[[#This Row],[Брак]]</f>
        <v>0</v>
      </c>
      <c r="H177" s="11">
        <v>31.83</v>
      </c>
      <c r="I177" s="11">
        <f>Таблица8[[#This Row],[Количество]]*Таблица8[[#This Row],[Цена покупки CNY за единицу]]</f>
        <v>318.29999999999995</v>
      </c>
      <c r="J177" s="57">
        <f>SUMIFS(Курсы_валют!E:E,Курсы_валют!B:B,"CNY")+0.3</f>
        <v>11.6561</v>
      </c>
      <c r="L177" s="57">
        <f>SUMIFS(Курсы_валют!E:E,Курсы_валют!B:B,"USD")</f>
        <v>81.225700000000003</v>
      </c>
      <c r="M177" s="3">
        <f>L177*K177+(Таблица8[[#This Row],[Цена покупки CNY]]*Таблица8[[#This Row],[Курс CNY]])</f>
        <v>3710.1366299999995</v>
      </c>
      <c r="N177" s="3">
        <f t="shared" si="9"/>
        <v>371.01366300000001</v>
      </c>
      <c r="O177" t="s">
        <v>668</v>
      </c>
      <c r="P177" s="15">
        <f>VLOOKUP($A177,'Список товаров'!A:K,11,0)*D177/1000</f>
        <v>5</v>
      </c>
      <c r="Q177" s="4">
        <f>IFERROR((P177/SUMIFS(P:P,O:O,O177)*SUMIFS('BUYER доставка'!L:L,'BUYER доставка'!A:A,O177))/D177,"")</f>
        <v>165.61099538486891</v>
      </c>
      <c r="R177" s="5">
        <f t="shared" si="8"/>
        <v>536.62465838486889</v>
      </c>
    </row>
    <row r="178" spans="1:18" x14ac:dyDescent="0.3">
      <c r="A178" s="49" t="s">
        <v>144</v>
      </c>
      <c r="B178" s="50" t="str">
        <f>VLOOKUP($A178,'Список товаров'!A:E,5,0)</f>
        <v>Металлическая модель автовоза синяя, инерционная, 41 см</v>
      </c>
      <c r="C178" s="51">
        <v>45917</v>
      </c>
      <c r="D178" s="50">
        <v>40</v>
      </c>
      <c r="E178" s="50"/>
      <c r="F178" s="50"/>
      <c r="G178" s="46" t="b">
        <f>Таблица8[[#This Row],[Количество]]=Таблица8[[#This Row],[Принято]]+Таблица8[[#This Row],[Брак]]</f>
        <v>0</v>
      </c>
      <c r="H178" s="11">
        <v>29.93</v>
      </c>
      <c r="I178" s="11">
        <f>Таблица8[[#This Row],[Количество]]*Таблица8[[#This Row],[Цена покупки CNY за единицу]]</f>
        <v>1197.2</v>
      </c>
      <c r="J178" s="57">
        <f>SUMIFS(Курсы_валют!E:E,Курсы_валют!B:B,"CNY")+0.3</f>
        <v>11.6561</v>
      </c>
      <c r="L178" s="57">
        <f>SUMIFS(Курсы_валют!E:E,Курсы_валют!B:B,"USD")</f>
        <v>81.225700000000003</v>
      </c>
      <c r="M178" s="3">
        <f>L178*K178+(Таблица8[[#This Row],[Цена покупки CNY]]*Таблица8[[#This Row],[Курс CNY]])</f>
        <v>13954.682920000001</v>
      </c>
      <c r="N178" s="3">
        <f t="shared" si="9"/>
        <v>348.867073</v>
      </c>
      <c r="O178" t="s">
        <v>668</v>
      </c>
      <c r="P178" s="15">
        <f>VLOOKUP($A178,'Список товаров'!A:K,11,0)*D178/1000</f>
        <v>20</v>
      </c>
      <c r="Q178" s="4">
        <f>IFERROR((P178/SUMIFS(P:P,O:O,O178)*SUMIFS('BUYER доставка'!L:L,'BUYER доставка'!A:A,O178))/D178,"")</f>
        <v>165.61099538486891</v>
      </c>
      <c r="R178" s="5">
        <f t="shared" si="8"/>
        <v>514.47806838486895</v>
      </c>
    </row>
    <row r="179" spans="1:18" x14ac:dyDescent="0.3">
      <c r="A179" s="49" t="s">
        <v>150</v>
      </c>
      <c r="B179" s="50" t="str">
        <f>VLOOKUP($A179,'Список товаров'!A:E,5,0)</f>
        <v>Металлическая модель грузовика Мерседес синий с прицепом, иннерционная, 31см, звук и свет</v>
      </c>
      <c r="C179" s="51">
        <v>45917</v>
      </c>
      <c r="D179" s="50">
        <v>10</v>
      </c>
      <c r="E179" s="50"/>
      <c r="F179" s="50"/>
      <c r="G179" s="46" t="b">
        <f>Таблица8[[#This Row],[Количество]]=Таблица8[[#This Row],[Принято]]+Таблица8[[#This Row],[Брак]]</f>
        <v>0</v>
      </c>
      <c r="H179" s="11">
        <v>31.83</v>
      </c>
      <c r="I179" s="11">
        <f>Таблица8[[#This Row],[Количество]]*Таблица8[[#This Row],[Цена покупки CNY за единицу]]</f>
        <v>318.29999999999995</v>
      </c>
      <c r="J179" s="57">
        <f>SUMIFS(Курсы_валют!E:E,Курсы_валют!B:B,"CNY")+0.3</f>
        <v>11.6561</v>
      </c>
      <c r="L179" s="57">
        <f>SUMIFS(Курсы_валют!E:E,Курсы_валют!B:B,"USD")</f>
        <v>81.225700000000003</v>
      </c>
      <c r="M179" s="3">
        <f>L179*K179+(Таблица8[[#This Row],[Цена покупки CNY]]*Таблица8[[#This Row],[Курс CNY]])</f>
        <v>3710.1366299999995</v>
      </c>
      <c r="N179" s="3">
        <f t="shared" si="9"/>
        <v>371.01366300000001</v>
      </c>
      <c r="O179" t="s">
        <v>668</v>
      </c>
      <c r="P179" s="15">
        <f>VLOOKUP($A179,'Список товаров'!A:K,11,0)*D179/1000</f>
        <v>5</v>
      </c>
      <c r="Q179" s="4">
        <f>IFERROR((P179/SUMIFS(P:P,O:O,O179)*SUMIFS('BUYER доставка'!L:L,'BUYER доставка'!A:A,O179))/D179,"")</f>
        <v>165.61099538486891</v>
      </c>
      <c r="R179" s="5">
        <f t="shared" si="8"/>
        <v>536.62465838486889</v>
      </c>
    </row>
    <row r="180" spans="1:18" x14ac:dyDescent="0.3">
      <c r="A180" s="49" t="s">
        <v>145</v>
      </c>
      <c r="B180" s="50" t="str">
        <f>VLOOKUP($A180,'Список товаров'!A:E,5,0)</f>
        <v>Металлическая модель автовоза белая, инерционная, 41 см</v>
      </c>
      <c r="C180" s="51">
        <v>45917</v>
      </c>
      <c r="D180" s="50">
        <v>40</v>
      </c>
      <c r="E180" s="50"/>
      <c r="F180" s="50"/>
      <c r="G180" s="46" t="b">
        <f>Таблица8[[#This Row],[Количество]]=Таблица8[[#This Row],[Принято]]+Таблица8[[#This Row],[Брак]]</f>
        <v>0</v>
      </c>
      <c r="H180" s="11">
        <v>29.93</v>
      </c>
      <c r="I180" s="11">
        <f>Таблица8[[#This Row],[Количество]]*Таблица8[[#This Row],[Цена покупки CNY за единицу]]</f>
        <v>1197.2</v>
      </c>
      <c r="J180" s="57">
        <f>SUMIFS(Курсы_валют!E:E,Курсы_валют!B:B,"CNY")+0.3</f>
        <v>11.6561</v>
      </c>
      <c r="L180" s="57">
        <f>SUMIFS(Курсы_валют!E:E,Курсы_валют!B:B,"USD")</f>
        <v>81.225700000000003</v>
      </c>
      <c r="M180" s="3">
        <f>L180*K180+(Таблица8[[#This Row],[Цена покупки CNY]]*Таблица8[[#This Row],[Курс CNY]])</f>
        <v>13954.682920000001</v>
      </c>
      <c r="N180" s="3">
        <f t="shared" si="9"/>
        <v>348.867073</v>
      </c>
      <c r="O180" t="s">
        <v>668</v>
      </c>
      <c r="P180" s="15">
        <f>VLOOKUP($A180,'Список товаров'!A:K,11,0)*D180/1000</f>
        <v>20</v>
      </c>
      <c r="Q180" s="4">
        <f>IFERROR((P180/SUMIFS(P:P,O:O,O180)*SUMIFS('BUYER доставка'!L:L,'BUYER доставка'!A:A,O180))/D180,"")</f>
        <v>165.61099538486891</v>
      </c>
      <c r="R180" s="5">
        <f t="shared" si="8"/>
        <v>514.47806838486895</v>
      </c>
    </row>
    <row r="181" spans="1:18" x14ac:dyDescent="0.3">
      <c r="A181" s="49" t="s">
        <v>158</v>
      </c>
      <c r="B181" s="50" t="str">
        <f>VLOOKUP($A181,'Список товаров'!A:E,5,0)</f>
        <v>Металлическая модель инерционная, тягач черный, свет и звук</v>
      </c>
      <c r="C181" s="51">
        <v>45917</v>
      </c>
      <c r="D181" s="50">
        <v>5</v>
      </c>
      <c r="E181" s="50"/>
      <c r="F181" s="50"/>
      <c r="G181" s="46" t="b">
        <f>Таблица8[[#This Row],[Количество]]=Таблица8[[#This Row],[Принято]]+Таблица8[[#This Row],[Брак]]</f>
        <v>0</v>
      </c>
      <c r="H181" s="11">
        <v>14.73</v>
      </c>
      <c r="I181" s="11">
        <f>Таблица8[[#This Row],[Количество]]*Таблица8[[#This Row],[Цена покупки CNY за единицу]]</f>
        <v>73.650000000000006</v>
      </c>
      <c r="J181" s="57">
        <f>SUMIFS(Курсы_валют!E:E,Курсы_валют!B:B,"CNY")+0.3</f>
        <v>11.6561</v>
      </c>
      <c r="L181" s="57">
        <f>SUMIFS(Курсы_валют!E:E,Курсы_валют!B:B,"USD")</f>
        <v>81.225700000000003</v>
      </c>
      <c r="M181" s="3">
        <f>L181*K181+(Таблица8[[#This Row],[Цена покупки CNY]]*Таблица8[[#This Row],[Курс CNY]])</f>
        <v>858.47176500000012</v>
      </c>
      <c r="N181" s="3">
        <f t="shared" si="9"/>
        <v>171.69435300000001</v>
      </c>
      <c r="O181" t="s">
        <v>668</v>
      </c>
      <c r="P181" s="15">
        <f>VLOOKUP($A181,'Список товаров'!A:K,11,0)*D181/1000</f>
        <v>1.25</v>
      </c>
      <c r="Q181" s="4">
        <f>IFERROR((P181/SUMIFS(P:P,O:O,O181)*SUMIFS('BUYER доставка'!L:L,'BUYER доставка'!A:A,O181))/D181,"")</f>
        <v>82.805497692434457</v>
      </c>
      <c r="R181" s="5">
        <f t="shared" si="8"/>
        <v>254.49985069243445</v>
      </c>
    </row>
    <row r="182" spans="1:18" x14ac:dyDescent="0.3">
      <c r="A182" s="49" t="s">
        <v>370</v>
      </c>
      <c r="B182" s="50" t="str">
        <f>VLOOKUP($A182,'Список товаров'!A:E,5,0)</f>
        <v>Игрушка контейнер грузовой синий</v>
      </c>
      <c r="C182" s="51">
        <v>45917</v>
      </c>
      <c r="D182" s="50">
        <v>20</v>
      </c>
      <c r="E182" s="50"/>
      <c r="F182" s="50"/>
      <c r="G182" s="46" t="b">
        <f>Таблица8[[#This Row],[Количество]]=Таблица8[[#This Row],[Принято]]+Таблица8[[#This Row],[Брак]]</f>
        <v>0</v>
      </c>
      <c r="H182" s="11">
        <v>19</v>
      </c>
      <c r="I182" s="11">
        <f>Таблица8[[#This Row],[Количество]]*Таблица8[[#This Row],[Цена покупки CNY за единицу]]</f>
        <v>380</v>
      </c>
      <c r="J182" s="57">
        <f>SUMIFS(Курсы_валют!E:E,Курсы_валют!B:B,"CNY")+0.3</f>
        <v>11.6561</v>
      </c>
      <c r="L182" s="57">
        <f>SUMIFS(Курсы_валют!E:E,Курсы_валют!B:B,"USD")</f>
        <v>81.225700000000003</v>
      </c>
      <c r="M182" s="3">
        <f>L182*K182+(Таблица8[[#This Row],[Цена покупки CNY]]*Таблица8[[#This Row],[Курс CNY]])</f>
        <v>4429.3180000000002</v>
      </c>
      <c r="N182" s="3">
        <f t="shared" si="9"/>
        <v>221.4659</v>
      </c>
      <c r="O182" t="s">
        <v>668</v>
      </c>
      <c r="P182" s="15">
        <f>VLOOKUP($A182,'Список товаров'!A:K,11,0)*D182/1000</f>
        <v>5</v>
      </c>
      <c r="Q182" s="4">
        <f>IFERROR((P182/SUMIFS(P:P,O:O,O182)*SUMIFS('BUYER доставка'!L:L,'BUYER доставка'!A:A,O182))/D182,"")</f>
        <v>82.805497692434457</v>
      </c>
      <c r="R182" s="5">
        <f t="shared" si="8"/>
        <v>304.27139769243445</v>
      </c>
    </row>
    <row r="183" spans="1:18" x14ac:dyDescent="0.3">
      <c r="A183" s="49" t="s">
        <v>154</v>
      </c>
      <c r="B183" s="50" t="str">
        <f>VLOOKUP($A183,'Список товаров'!A:E,5,0)</f>
        <v>Металлическая модель грузовика Мерседес черно-коричневый с прицепом, иннерционная, 31см, звук и свет</v>
      </c>
      <c r="C183" s="51">
        <v>45917</v>
      </c>
      <c r="D183" s="50">
        <v>10</v>
      </c>
      <c r="E183" s="50"/>
      <c r="F183" s="50"/>
      <c r="G183" s="46" t="b">
        <f>Таблица8[[#This Row],[Количество]]=Таблица8[[#This Row],[Принято]]+Таблица8[[#This Row],[Брак]]</f>
        <v>0</v>
      </c>
      <c r="H183" s="11">
        <v>31.83</v>
      </c>
      <c r="I183" s="11">
        <f>Таблица8[[#This Row],[Количество]]*Таблица8[[#This Row],[Цена покупки CNY за единицу]]</f>
        <v>318.29999999999995</v>
      </c>
      <c r="J183" s="57">
        <f>SUMIFS(Курсы_валют!E:E,Курсы_валют!B:B,"CNY")+0.3</f>
        <v>11.6561</v>
      </c>
      <c r="L183" s="57">
        <f>SUMIFS(Курсы_валют!E:E,Курсы_валют!B:B,"USD")</f>
        <v>81.225700000000003</v>
      </c>
      <c r="M183" s="3">
        <f>L183*K183+(Таблица8[[#This Row],[Цена покупки CNY]]*Таблица8[[#This Row],[Курс CNY]])</f>
        <v>3710.1366299999995</v>
      </c>
      <c r="N183" s="3">
        <f t="shared" si="9"/>
        <v>371.01366300000001</v>
      </c>
      <c r="O183" t="s">
        <v>668</v>
      </c>
      <c r="P183" s="15">
        <f>VLOOKUP($A183,'Список товаров'!A:K,11,0)*D183/1000</f>
        <v>5</v>
      </c>
      <c r="Q183" s="4">
        <f>IFERROR((P183/SUMIFS(P:P,O:O,O183)*SUMIFS('BUYER доставка'!L:L,'BUYER доставка'!A:A,O183))/D183,"")</f>
        <v>165.61099538486891</v>
      </c>
      <c r="R183" s="5">
        <f t="shared" si="8"/>
        <v>536.62465838486889</v>
      </c>
    </row>
    <row r="184" spans="1:18" x14ac:dyDescent="0.3">
      <c r="A184" s="49" t="s">
        <v>159</v>
      </c>
      <c r="B184" s="50" t="str">
        <f>VLOOKUP($A184,'Список товаров'!A:E,5,0)</f>
        <v>Игрушка контейнер грузовой коричневый</v>
      </c>
      <c r="C184" s="51">
        <v>45917</v>
      </c>
      <c r="D184" s="50">
        <v>10</v>
      </c>
      <c r="E184" s="50"/>
      <c r="F184" s="50"/>
      <c r="G184" s="46" t="b">
        <f>Таблица8[[#This Row],[Количество]]=Таблица8[[#This Row],[Принято]]+Таблица8[[#This Row],[Брак]]</f>
        <v>0</v>
      </c>
      <c r="H184" s="11">
        <v>19</v>
      </c>
      <c r="I184" s="11">
        <f>Таблица8[[#This Row],[Количество]]*Таблица8[[#This Row],[Цена покупки CNY за единицу]]</f>
        <v>190</v>
      </c>
      <c r="J184" s="57">
        <f>SUMIFS(Курсы_валют!E:E,Курсы_валют!B:B,"CNY")+0.3</f>
        <v>11.6561</v>
      </c>
      <c r="L184" s="57">
        <f>SUMIFS(Курсы_валют!E:E,Курсы_валют!B:B,"USD")</f>
        <v>81.225700000000003</v>
      </c>
      <c r="M184" s="3">
        <f>L184*K184+(Таблица8[[#This Row],[Цена покупки CNY]]*Таблица8[[#This Row],[Курс CNY]])</f>
        <v>2214.6590000000001</v>
      </c>
      <c r="N184" s="3">
        <f t="shared" si="9"/>
        <v>221.4659</v>
      </c>
      <c r="O184" t="s">
        <v>668</v>
      </c>
      <c r="P184" s="15">
        <f>VLOOKUP($A184,'Список товаров'!A:K,11,0)*D184/1000</f>
        <v>2.5</v>
      </c>
      <c r="Q184" s="4">
        <f>IFERROR((P184/SUMIFS(P:P,O:O,O184)*SUMIFS('BUYER доставка'!L:L,'BUYER доставка'!A:A,O184))/D184,"")</f>
        <v>82.805497692434457</v>
      </c>
      <c r="R184" s="5">
        <f t="shared" si="8"/>
        <v>304.27139769243445</v>
      </c>
    </row>
    <row r="185" spans="1:18" x14ac:dyDescent="0.3">
      <c r="A185" s="49" t="s">
        <v>147</v>
      </c>
      <c r="B185" s="50" t="str">
        <f>VLOOKUP($A185,'Список товаров'!A:E,5,0)</f>
        <v>Металлическая модель грузовика Мерседес сине-коричневый с прицепом, иннерционная, 31см, звук и свет</v>
      </c>
      <c r="C185" s="51">
        <v>45917</v>
      </c>
      <c r="D185" s="50">
        <v>10</v>
      </c>
      <c r="E185" s="50"/>
      <c r="F185" s="50"/>
      <c r="G185" s="46" t="b">
        <f>Таблица8[[#This Row],[Количество]]=Таблица8[[#This Row],[Принято]]+Таблица8[[#This Row],[Брак]]</f>
        <v>0</v>
      </c>
      <c r="H185" s="11">
        <v>31.83</v>
      </c>
      <c r="I185" s="11">
        <f>Таблица8[[#This Row],[Количество]]*Таблица8[[#This Row],[Цена покупки CNY за единицу]]</f>
        <v>318.29999999999995</v>
      </c>
      <c r="J185" s="57">
        <f>SUMIFS(Курсы_валют!E:E,Курсы_валют!B:B,"CNY")+0.3</f>
        <v>11.6561</v>
      </c>
      <c r="L185" s="57">
        <f>SUMIFS(Курсы_валют!E:E,Курсы_валют!B:B,"USD")</f>
        <v>81.225700000000003</v>
      </c>
      <c r="M185" s="3">
        <f>L185*K185+(Таблица8[[#This Row],[Цена покупки CNY]]*Таблица8[[#This Row],[Курс CNY]])</f>
        <v>3710.1366299999995</v>
      </c>
      <c r="N185" s="3">
        <f t="shared" si="9"/>
        <v>371.01366300000001</v>
      </c>
      <c r="O185" t="s">
        <v>668</v>
      </c>
      <c r="P185" s="15">
        <f>VLOOKUP($A185,'Список товаров'!A:K,11,0)*D185/1000</f>
        <v>5</v>
      </c>
      <c r="Q185" s="4">
        <f>IFERROR((P185/SUMIFS(P:P,O:O,O185)*SUMIFS('BUYER доставка'!L:L,'BUYER доставка'!A:A,O185))/D185,"")</f>
        <v>165.61099538486891</v>
      </c>
      <c r="R185" s="5">
        <f t="shared" si="8"/>
        <v>536.62465838486889</v>
      </c>
    </row>
    <row r="186" spans="1:18" x14ac:dyDescent="0.3">
      <c r="A186" s="49" t="s">
        <v>151</v>
      </c>
      <c r="B186" s="50" t="str">
        <f>VLOOKUP($A186,'Список товаров'!A:E,5,0)</f>
        <v>Металлическая модель грузовика Мерседес бело-синий с прицепом, иннерционная, 31см, звук и свет</v>
      </c>
      <c r="C186" s="51">
        <v>45917</v>
      </c>
      <c r="D186" s="50">
        <v>20</v>
      </c>
      <c r="E186" s="50"/>
      <c r="F186" s="50"/>
      <c r="G186" s="46" t="b">
        <f>Таблица8[[#This Row],[Количество]]=Таблица8[[#This Row],[Принято]]+Таблица8[[#This Row],[Брак]]</f>
        <v>0</v>
      </c>
      <c r="H186" s="11">
        <v>31.83</v>
      </c>
      <c r="I186" s="11">
        <f>Таблица8[[#This Row],[Количество]]*Таблица8[[#This Row],[Цена покупки CNY за единицу]]</f>
        <v>636.59999999999991</v>
      </c>
      <c r="J186" s="57">
        <f>SUMIFS(Курсы_валют!E:E,Курсы_валют!B:B,"CNY")+0.3</f>
        <v>11.6561</v>
      </c>
      <c r="L186" s="57">
        <f>SUMIFS(Курсы_валют!E:E,Курсы_валют!B:B,"USD")</f>
        <v>81.225700000000003</v>
      </c>
      <c r="M186" s="3">
        <f>L186*K186+(Таблица8[[#This Row],[Цена покупки CNY]]*Таблица8[[#This Row],[Курс CNY]])</f>
        <v>7420.273259999999</v>
      </c>
      <c r="N186" s="3">
        <f t="shared" si="9"/>
        <v>371.01366300000001</v>
      </c>
      <c r="O186" t="s">
        <v>668</v>
      </c>
      <c r="P186" s="15">
        <f>VLOOKUP($A186,'Список товаров'!A:K,11,0)*D186/1000</f>
        <v>10</v>
      </c>
      <c r="Q186" s="4">
        <f>IFERROR((P186/SUMIFS(P:P,O:O,O186)*SUMIFS('BUYER доставка'!L:L,'BUYER доставка'!A:A,O186))/D186,"")</f>
        <v>165.61099538486891</v>
      </c>
      <c r="R186" s="5">
        <f t="shared" si="8"/>
        <v>536.62465838486889</v>
      </c>
    </row>
    <row r="187" spans="1:18" x14ac:dyDescent="0.3">
      <c r="A187" s="54" t="s">
        <v>153</v>
      </c>
      <c r="B187" s="50" t="str">
        <f>VLOOKUP($A187,'Список товаров'!A:E,5,0)</f>
        <v>Металлическая модель грузовика Мерседес бело-желтый с прицепом, иннерционная, 31см, звук и свет</v>
      </c>
      <c r="C187" s="51">
        <v>45917</v>
      </c>
      <c r="D187" s="50">
        <v>10</v>
      </c>
      <c r="E187" s="50"/>
      <c r="F187" s="50"/>
      <c r="G187" s="46" t="b">
        <f>Таблица8[[#This Row],[Количество]]=Таблица8[[#This Row],[Принято]]+Таблица8[[#This Row],[Брак]]</f>
        <v>0</v>
      </c>
      <c r="H187" s="11">
        <v>31.83</v>
      </c>
      <c r="I187" s="11">
        <f>Таблица8[[#This Row],[Количество]]*Таблица8[[#This Row],[Цена покупки CNY за единицу]]</f>
        <v>318.29999999999995</v>
      </c>
      <c r="J187" s="57">
        <f>SUMIFS(Курсы_валют!E:E,Курсы_валют!B:B,"CNY")+0.3</f>
        <v>11.6561</v>
      </c>
      <c r="L187" s="57">
        <f>SUMIFS(Курсы_валют!E:E,Курсы_валют!B:B,"USD")</f>
        <v>81.225700000000003</v>
      </c>
      <c r="M187" s="3">
        <f>L187*K187+(Таблица8[[#This Row],[Цена покупки CNY]]*Таблица8[[#This Row],[Курс CNY]])</f>
        <v>3710.1366299999995</v>
      </c>
      <c r="N187" s="3">
        <f t="shared" si="9"/>
        <v>371.01366300000001</v>
      </c>
      <c r="O187" t="s">
        <v>668</v>
      </c>
      <c r="P187" s="15">
        <f>VLOOKUP($A187,'Список товаров'!A:K,11,0)*D187/1000</f>
        <v>5</v>
      </c>
      <c r="Q187" s="4">
        <f>IFERROR((P187/SUMIFS(P:P,O:O,O187)*SUMIFS('BUYER доставка'!L:L,'BUYER доставка'!A:A,O187))/D187,"")</f>
        <v>165.61099538486891</v>
      </c>
      <c r="R187" s="5">
        <f t="shared" si="8"/>
        <v>536.62465838486889</v>
      </c>
    </row>
    <row r="188" spans="1:18" x14ac:dyDescent="0.3">
      <c r="A188" s="49" t="s">
        <v>148</v>
      </c>
      <c r="B188" s="50" t="str">
        <f>VLOOKUP($A188,'Список товаров'!A:E,5,0)</f>
        <v>Металлическая модель грузовика Мерседес черно-серый с прицепом, иннерционная, 31см, звук и свет</v>
      </c>
      <c r="C188" s="51">
        <v>45917</v>
      </c>
      <c r="D188" s="50">
        <v>20</v>
      </c>
      <c r="E188" s="50"/>
      <c r="F188" s="50"/>
      <c r="G188" s="46" t="b">
        <f>Таблица8[[#This Row],[Количество]]=Таблица8[[#This Row],[Принято]]+Таблица8[[#This Row],[Брак]]</f>
        <v>0</v>
      </c>
      <c r="H188" s="11">
        <v>31.83</v>
      </c>
      <c r="I188" s="11">
        <f>Таблица8[[#This Row],[Количество]]*Таблица8[[#This Row],[Цена покупки CNY за единицу]]</f>
        <v>636.59999999999991</v>
      </c>
      <c r="J188" s="57">
        <f>SUMIFS(Курсы_валют!E:E,Курсы_валют!B:B,"CNY")+0.3</f>
        <v>11.6561</v>
      </c>
      <c r="L188" s="57">
        <f>SUMIFS(Курсы_валют!E:E,Курсы_валют!B:B,"USD")</f>
        <v>81.225700000000003</v>
      </c>
      <c r="M188" s="3">
        <f>L188*K188+(Таблица8[[#This Row],[Цена покупки CNY]]*Таблица8[[#This Row],[Курс CNY]])</f>
        <v>7420.273259999999</v>
      </c>
      <c r="N188" s="3">
        <f t="shared" si="9"/>
        <v>371.01366300000001</v>
      </c>
      <c r="O188" t="s">
        <v>668</v>
      </c>
      <c r="P188" s="15">
        <f>VLOOKUP($A188,'Список товаров'!A:K,11,0)*D188/1000</f>
        <v>10</v>
      </c>
      <c r="Q188" s="4">
        <f>IFERROR((P188/SUMIFS(P:P,O:O,O188)*SUMIFS('BUYER доставка'!L:L,'BUYER доставка'!A:A,O188))/D188,"")</f>
        <v>165.61099538486891</v>
      </c>
      <c r="R188" s="5">
        <f t="shared" si="8"/>
        <v>536.62465838486889</v>
      </c>
    </row>
    <row r="189" spans="1:18" x14ac:dyDescent="0.3">
      <c r="A189" s="49" t="s">
        <v>149</v>
      </c>
      <c r="B189" s="50" t="str">
        <f>VLOOKUP($A189,'Список товаров'!A:E,5,0)</f>
        <v>Металлическая модель грузовика Мерседес черно-синий с прицепом, иннерционная, 31см, звук и свет</v>
      </c>
      <c r="C189" s="51">
        <v>45917</v>
      </c>
      <c r="D189" s="50">
        <v>10</v>
      </c>
      <c r="E189" s="50"/>
      <c r="F189" s="50"/>
      <c r="G189" s="46" t="b">
        <f>Таблица8[[#This Row],[Количество]]=Таблица8[[#This Row],[Принято]]+Таблица8[[#This Row],[Брак]]</f>
        <v>0</v>
      </c>
      <c r="H189" s="11">
        <v>31.83</v>
      </c>
      <c r="I189" s="11">
        <f>Таблица8[[#This Row],[Количество]]*Таблица8[[#This Row],[Цена покупки CNY за единицу]]</f>
        <v>318.29999999999995</v>
      </c>
      <c r="J189" s="57">
        <f>SUMIFS(Курсы_валют!E:E,Курсы_валют!B:B,"CNY")+0.3</f>
        <v>11.6561</v>
      </c>
      <c r="L189" s="57">
        <f>SUMIFS(Курсы_валют!E:E,Курсы_валют!B:B,"USD")</f>
        <v>81.225700000000003</v>
      </c>
      <c r="M189" s="3">
        <f>L189*K189+(Таблица8[[#This Row],[Цена покупки CNY]]*Таблица8[[#This Row],[Курс CNY]])</f>
        <v>3710.1366299999995</v>
      </c>
      <c r="N189" s="3">
        <f t="shared" si="9"/>
        <v>371.01366300000001</v>
      </c>
      <c r="O189" t="s">
        <v>668</v>
      </c>
      <c r="P189" s="15">
        <f>VLOOKUP($A189,'Список товаров'!A:K,11,0)*D189/1000</f>
        <v>5</v>
      </c>
      <c r="Q189" s="4">
        <f>IFERROR((P189/SUMIFS(P:P,O:O,O189)*SUMIFS('BUYER доставка'!L:L,'BUYER доставка'!A:A,O189))/D189,"")</f>
        <v>165.61099538486891</v>
      </c>
      <c r="R189" s="5">
        <f t="shared" si="8"/>
        <v>536.62465838486889</v>
      </c>
    </row>
    <row r="190" spans="1:18" x14ac:dyDescent="0.3">
      <c r="A190" s="49" t="s">
        <v>140</v>
      </c>
      <c r="B190" s="50" t="str">
        <f>VLOOKUP($A190,'Список товаров'!A:E,5,0)</f>
        <v>Металлическая модель грузовика Мерседес бело-коричневый с прицепом, иннерционная, 31см, звук и свет</v>
      </c>
      <c r="C190" s="51">
        <v>45917</v>
      </c>
      <c r="D190" s="50">
        <v>10</v>
      </c>
      <c r="E190" s="50"/>
      <c r="F190" s="50"/>
      <c r="G190" s="46" t="b">
        <f>Таблица8[[#This Row],[Количество]]=Таблица8[[#This Row],[Принято]]+Таблица8[[#This Row],[Брак]]</f>
        <v>0</v>
      </c>
      <c r="H190" s="11">
        <v>31.83</v>
      </c>
      <c r="I190" s="11">
        <f>Таблица8[[#This Row],[Количество]]*Таблица8[[#This Row],[Цена покупки CNY за единицу]]</f>
        <v>318.29999999999995</v>
      </c>
      <c r="J190" s="57">
        <f>SUMIFS(Курсы_валют!E:E,Курсы_валют!B:B,"CNY")+0.3</f>
        <v>11.6561</v>
      </c>
      <c r="L190" s="57">
        <f>SUMIFS(Курсы_валют!E:E,Курсы_валют!B:B,"USD")</f>
        <v>81.225700000000003</v>
      </c>
      <c r="M190" s="3">
        <f>L190*K190+(Таблица8[[#This Row],[Цена покупки CNY]]*Таблица8[[#This Row],[Курс CNY]])</f>
        <v>3710.1366299999995</v>
      </c>
      <c r="N190" s="3">
        <f t="shared" si="9"/>
        <v>371.01366300000001</v>
      </c>
      <c r="O190" t="s">
        <v>668</v>
      </c>
      <c r="P190" s="15">
        <f>VLOOKUP($A190,'Список товаров'!A:K,11,0)*D190/1000</f>
        <v>5</v>
      </c>
      <c r="Q190" s="4">
        <f>IFERROR((P190/SUMIFS(P:P,O:O,O190)*SUMIFS('BUYER доставка'!L:L,'BUYER доставка'!A:A,O190))/D190,"")</f>
        <v>165.61099538486891</v>
      </c>
      <c r="R190" s="5">
        <f t="shared" si="8"/>
        <v>536.62465838486889</v>
      </c>
    </row>
    <row r="191" spans="1:18" x14ac:dyDescent="0.3">
      <c r="A191" s="49" t="s">
        <v>139</v>
      </c>
      <c r="B191" s="50" t="str">
        <f>VLOOKUP($A191,'Список товаров'!A:E,5,0)</f>
        <v>Металлическая модель грузовика Мерседес черно-желтый с прицепом, иннерционная, 31см, звук и свет</v>
      </c>
      <c r="C191" s="51">
        <v>45917</v>
      </c>
      <c r="D191" s="50">
        <v>20</v>
      </c>
      <c r="E191" s="50"/>
      <c r="F191" s="50"/>
      <c r="G191" s="46" t="b">
        <f>Таблица8[[#This Row],[Количество]]=Таблица8[[#This Row],[Принято]]+Таблица8[[#This Row],[Брак]]</f>
        <v>0</v>
      </c>
      <c r="H191" s="11">
        <v>31.83</v>
      </c>
      <c r="I191" s="11">
        <f>Таблица8[[#This Row],[Количество]]*Таблица8[[#This Row],[Цена покупки CNY за единицу]]</f>
        <v>636.59999999999991</v>
      </c>
      <c r="J191" s="57">
        <f>SUMIFS(Курсы_валют!E:E,Курсы_валют!B:B,"CNY")+0.3</f>
        <v>11.6561</v>
      </c>
      <c r="L191" s="57">
        <f>SUMIFS(Курсы_валют!E:E,Курсы_валют!B:B,"USD")</f>
        <v>81.225700000000003</v>
      </c>
      <c r="M191" s="3">
        <f>L191*K191+(Таблица8[[#This Row],[Цена покупки CNY]]*Таблица8[[#This Row],[Курс CNY]])</f>
        <v>7420.273259999999</v>
      </c>
      <c r="N191" s="3">
        <f t="shared" si="9"/>
        <v>371.01366300000001</v>
      </c>
      <c r="O191" t="s">
        <v>668</v>
      </c>
      <c r="P191" s="15">
        <f>VLOOKUP($A191,'Список товаров'!A:K,11,0)*D191/1000</f>
        <v>10</v>
      </c>
      <c r="Q191" s="4">
        <f>IFERROR((P191/SUMIFS(P:P,O:O,O191)*SUMIFS('BUYER доставка'!L:L,'BUYER доставка'!A:A,O191))/D191,"")</f>
        <v>165.61099538486891</v>
      </c>
      <c r="R191" s="5">
        <f t="shared" si="8"/>
        <v>536.62465838486889</v>
      </c>
    </row>
    <row r="192" spans="1:18" x14ac:dyDescent="0.3">
      <c r="A192" s="49" t="s">
        <v>146</v>
      </c>
      <c r="B192" s="50" t="str">
        <f>VLOOKUP($A192,'Список товаров'!A:E,5,0)</f>
        <v>Металлическая модель грузовика Мерседес бело-серый с прицепом, иннерционная, 31см, звук и свет</v>
      </c>
      <c r="C192" s="51">
        <v>45917</v>
      </c>
      <c r="D192" s="50">
        <v>10</v>
      </c>
      <c r="E192" s="50"/>
      <c r="F192" s="50"/>
      <c r="G192" s="46" t="b">
        <f>Таблица8[[#This Row],[Количество]]=Таблица8[[#This Row],[Принято]]+Таблица8[[#This Row],[Брак]]</f>
        <v>0</v>
      </c>
      <c r="H192" s="11">
        <v>31.83</v>
      </c>
      <c r="I192" s="11">
        <f>Таблица8[[#This Row],[Количество]]*Таблица8[[#This Row],[Цена покупки CNY за единицу]]</f>
        <v>318.29999999999995</v>
      </c>
      <c r="J192" s="57">
        <f>SUMIFS(Курсы_валют!E:E,Курсы_валют!B:B,"CNY")+0.3</f>
        <v>11.6561</v>
      </c>
      <c r="L192" s="57">
        <f>SUMIFS(Курсы_валют!E:E,Курсы_валют!B:B,"USD")</f>
        <v>81.225700000000003</v>
      </c>
      <c r="M192" s="3">
        <f>L192*K192+(Таблица8[[#This Row],[Цена покупки CNY]]*Таблица8[[#This Row],[Курс CNY]])</f>
        <v>3710.1366299999995</v>
      </c>
      <c r="N192" s="3">
        <f t="shared" si="9"/>
        <v>371.01366300000001</v>
      </c>
      <c r="O192" t="s">
        <v>668</v>
      </c>
      <c r="P192" s="15">
        <f>VLOOKUP($A192,'Список товаров'!A:K,11,0)*D192/1000</f>
        <v>5</v>
      </c>
      <c r="Q192" s="4">
        <f>IFERROR((P192/SUMIFS(P:P,O:O,O192)*SUMIFS('BUYER доставка'!L:L,'BUYER доставка'!A:A,O192))/D192,"")</f>
        <v>165.61099538486891</v>
      </c>
      <c r="R192" s="5">
        <f t="shared" si="8"/>
        <v>536.62465838486889</v>
      </c>
    </row>
    <row r="193" spans="1:18" x14ac:dyDescent="0.3">
      <c r="A193" s="49" t="s">
        <v>152</v>
      </c>
      <c r="B193" s="50" t="str">
        <f>VLOOKUP($A193,'Список товаров'!A:E,5,0)</f>
        <v>Металлическая модель грузовика Мерседес сине-желтый с прицепом, иннерционная, 31см, звук и свет</v>
      </c>
      <c r="C193" s="51">
        <v>45917</v>
      </c>
      <c r="D193" s="50">
        <v>10</v>
      </c>
      <c r="E193" s="50"/>
      <c r="F193" s="50"/>
      <c r="G193" s="46" t="b">
        <f>Таблица8[[#This Row],[Количество]]=Таблица8[[#This Row],[Принято]]+Таблица8[[#This Row],[Брак]]</f>
        <v>0</v>
      </c>
      <c r="H193" s="11">
        <v>31.83</v>
      </c>
      <c r="I193" s="11">
        <f>Таблица8[[#This Row],[Количество]]*Таблица8[[#This Row],[Цена покупки CNY за единицу]]</f>
        <v>318.29999999999995</v>
      </c>
      <c r="J193" s="57">
        <f>SUMIFS(Курсы_валют!E:E,Курсы_валют!B:B,"CNY")+0.3</f>
        <v>11.6561</v>
      </c>
      <c r="L193" s="57">
        <f>SUMIFS(Курсы_валют!E:E,Курсы_валют!B:B,"USD")</f>
        <v>81.225700000000003</v>
      </c>
      <c r="M193" s="3">
        <f>L193*K193+(Таблица8[[#This Row],[Цена покупки CNY]]*Таблица8[[#This Row],[Курс CNY]])</f>
        <v>3710.1366299999995</v>
      </c>
      <c r="N193" s="3">
        <f t="shared" si="9"/>
        <v>371.01366300000001</v>
      </c>
      <c r="O193" t="s">
        <v>668</v>
      </c>
      <c r="P193" s="15">
        <f>VLOOKUP($A193,'Список товаров'!A:K,11,0)*D193/1000</f>
        <v>5</v>
      </c>
      <c r="Q193" s="4">
        <f>IFERROR((P193/SUMIFS(P:P,O:O,O193)*SUMIFS('BUYER доставка'!L:L,'BUYER доставка'!A:A,O193))/D193,"")</f>
        <v>165.61099538486891</v>
      </c>
      <c r="R193" s="5">
        <f t="shared" si="8"/>
        <v>536.62465838486889</v>
      </c>
    </row>
    <row r="194" spans="1:18" x14ac:dyDescent="0.3">
      <c r="A194" s="49" t="s">
        <v>155</v>
      </c>
      <c r="B194" s="50" t="str">
        <f>VLOOKUP($A194,'Список товаров'!A:E,5,0)</f>
        <v>Металлическая модель инерционная, тягач белый, свет и звук</v>
      </c>
      <c r="C194" s="51">
        <v>45917</v>
      </c>
      <c r="D194" s="50">
        <v>5</v>
      </c>
      <c r="E194" s="50"/>
      <c r="F194" s="50"/>
      <c r="G194" s="46" t="b">
        <f>Таблица8[[#This Row],[Количество]]=Таблица8[[#This Row],[Принято]]+Таблица8[[#This Row],[Брак]]</f>
        <v>0</v>
      </c>
      <c r="H194" s="11">
        <v>14.73</v>
      </c>
      <c r="I194" s="11">
        <f>Таблица8[[#This Row],[Количество]]*Таблица8[[#This Row],[Цена покупки CNY за единицу]]</f>
        <v>73.650000000000006</v>
      </c>
      <c r="J194" s="57">
        <f>SUMIFS(Курсы_валют!E:E,Курсы_валют!B:B,"CNY")+0.3</f>
        <v>11.6561</v>
      </c>
      <c r="L194" s="57">
        <f>SUMIFS(Курсы_валют!E:E,Курсы_валют!B:B,"USD")</f>
        <v>81.225700000000003</v>
      </c>
      <c r="M194" s="3">
        <f>L194*K194+(Таблица8[[#This Row],[Цена покупки CNY]]*Таблица8[[#This Row],[Курс CNY]])</f>
        <v>858.47176500000012</v>
      </c>
      <c r="N194" s="3">
        <f t="shared" si="9"/>
        <v>171.69435300000001</v>
      </c>
      <c r="O194" t="s">
        <v>668</v>
      </c>
      <c r="P194" s="15">
        <f>VLOOKUP($A194,'Список товаров'!A:K,11,0)*D194/1000</f>
        <v>1.25</v>
      </c>
      <c r="Q194" s="4">
        <f>IFERROR((P194/SUMIFS(P:P,O:O,O194)*SUMIFS('BUYER доставка'!L:L,'BUYER доставка'!A:A,O194))/D194,"")</f>
        <v>82.805497692434457</v>
      </c>
      <c r="R194" s="5">
        <f t="shared" si="8"/>
        <v>254.49985069243445</v>
      </c>
    </row>
    <row r="195" spans="1:18" x14ac:dyDescent="0.3">
      <c r="A195" s="49" t="s">
        <v>143</v>
      </c>
      <c r="B195" s="50" t="str">
        <f>VLOOKUP($A195,'Список товаров'!A:E,5,0)</f>
        <v>Металлическая модель автовоза черная, инерционная, 41 см</v>
      </c>
      <c r="C195" s="51">
        <v>45917</v>
      </c>
      <c r="D195" s="50">
        <v>30</v>
      </c>
      <c r="E195" s="50"/>
      <c r="F195" s="50"/>
      <c r="G195" s="46" t="b">
        <f>Таблица8[[#This Row],[Количество]]=Таблица8[[#This Row],[Принято]]+Таблица8[[#This Row],[Брак]]</f>
        <v>0</v>
      </c>
      <c r="H195" s="11">
        <v>29.93</v>
      </c>
      <c r="I195" s="11">
        <f>Таблица8[[#This Row],[Количество]]*Таблица8[[#This Row],[Цена покупки CNY за единицу]]</f>
        <v>897.9</v>
      </c>
      <c r="J195" s="57">
        <f>SUMIFS(Курсы_валют!E:E,Курсы_валют!B:B,"CNY")+0.3</f>
        <v>11.6561</v>
      </c>
      <c r="L195" s="57">
        <f>SUMIFS(Курсы_валют!E:E,Курсы_валют!B:B,"USD")</f>
        <v>81.225700000000003</v>
      </c>
      <c r="M195" s="3">
        <f>L195*K195+(Таблица8[[#This Row],[Цена покупки CNY]]*Таблица8[[#This Row],[Курс CNY]])</f>
        <v>10466.012189999999</v>
      </c>
      <c r="N195" s="3">
        <f t="shared" si="9"/>
        <v>348.867073</v>
      </c>
      <c r="O195" t="s">
        <v>668</v>
      </c>
      <c r="P195" s="15">
        <f>VLOOKUP($A195,'Список товаров'!A:K,11,0)*D195/1000</f>
        <v>15</v>
      </c>
      <c r="Q195" s="4">
        <f>IFERROR((P195/SUMIFS(P:P,O:O,O195)*SUMIFS('BUYER доставка'!L:L,'BUYER доставка'!A:A,O195))/D195,"")</f>
        <v>165.61099538486891</v>
      </c>
      <c r="R195" s="5">
        <f t="shared" ref="R195:R218" si="10">IFERROR(N195+Q195,0)</f>
        <v>514.47806838486895</v>
      </c>
    </row>
    <row r="196" spans="1:18" x14ac:dyDescent="0.3">
      <c r="A196" s="49" t="s">
        <v>156</v>
      </c>
      <c r="B196" s="50" t="str">
        <f>VLOOKUP($A196,'Список товаров'!A:E,5,0)</f>
        <v>Игрушка контейнер грузовой желтый</v>
      </c>
      <c r="C196" s="51">
        <v>45917</v>
      </c>
      <c r="D196" s="50">
        <v>20</v>
      </c>
      <c r="E196" s="50"/>
      <c r="F196" s="50"/>
      <c r="G196" s="46" t="b">
        <f>Таблица8[[#This Row],[Количество]]=Таблица8[[#This Row],[Принято]]+Таблица8[[#This Row],[Брак]]</f>
        <v>0</v>
      </c>
      <c r="H196" s="52">
        <v>19</v>
      </c>
      <c r="I196" s="11">
        <f>Таблица8[[#This Row],[Количество]]*Таблица8[[#This Row],[Цена покупки CNY за единицу]]</f>
        <v>380</v>
      </c>
      <c r="J196" s="57">
        <f>SUMIFS(Курсы_валют!E:E,Курсы_валют!B:B,"CNY")+0.3</f>
        <v>11.6561</v>
      </c>
      <c r="L196" s="57">
        <f>SUMIFS(Курсы_валют!E:E,Курсы_валют!B:B,"USD")</f>
        <v>81.225700000000003</v>
      </c>
      <c r="M196" s="3">
        <f>L196*K196+(Таблица8[[#This Row],[Цена покупки CNY]]*Таблица8[[#This Row],[Курс CNY]])</f>
        <v>4429.3180000000002</v>
      </c>
      <c r="N196" s="3">
        <f t="shared" si="9"/>
        <v>221.4659</v>
      </c>
      <c r="O196" t="s">
        <v>668</v>
      </c>
      <c r="P196" s="15">
        <f>VLOOKUP($A196,'Список товаров'!A:K,11,0)*D196/1000</f>
        <v>5</v>
      </c>
      <c r="Q196" s="4">
        <f>IFERROR((P196/SUMIFS(P:P,O:O,O196)*SUMIFS('BUYER доставка'!L:L,'BUYER доставка'!A:A,O196))/D196,"")</f>
        <v>82.805497692434457</v>
      </c>
      <c r="R196" s="5">
        <f t="shared" si="10"/>
        <v>304.27139769243445</v>
      </c>
    </row>
    <row r="197" spans="1:18" x14ac:dyDescent="0.3">
      <c r="A197" s="49" t="s">
        <v>175</v>
      </c>
      <c r="B197" s="50" t="str">
        <f>VLOOKUP($A197,'Список товаров'!A:E,5,0)</f>
        <v>2-х этажный металлический автобус, красный</v>
      </c>
      <c r="C197" s="51">
        <v>45917</v>
      </c>
      <c r="D197" s="50">
        <v>15</v>
      </c>
      <c r="E197" s="50"/>
      <c r="F197" s="50"/>
      <c r="G197" s="46" t="b">
        <f>Таблица8[[#This Row],[Количество]]=Таблица8[[#This Row],[Принято]]+Таблица8[[#This Row],[Брак]]</f>
        <v>0</v>
      </c>
      <c r="H197" s="11">
        <v>59.3</v>
      </c>
      <c r="I197" s="11">
        <f>Таблица8[[#This Row],[Количество]]*Таблица8[[#This Row],[Цена покупки CNY за единицу]]</f>
        <v>889.5</v>
      </c>
      <c r="J197" s="57">
        <f>SUMIFS(Курсы_валют!E:E,Курсы_валют!B:B,"CNY")+0.3</f>
        <v>11.6561</v>
      </c>
      <c r="L197" s="57">
        <f>SUMIFS(Курсы_валют!E:E,Курсы_валют!B:B,"USD")</f>
        <v>81.225700000000003</v>
      </c>
      <c r="M197" s="3">
        <f>L197*K197+(Таблица8[[#This Row],[Цена покупки CNY]]*Таблица8[[#This Row],[Курс CNY]])</f>
        <v>10368.10095</v>
      </c>
      <c r="N197" s="3">
        <f t="shared" si="9"/>
        <v>691.20672999999999</v>
      </c>
      <c r="O197" t="s">
        <v>668</v>
      </c>
      <c r="P197" s="15">
        <f>VLOOKUP($A197,'Список товаров'!A:K,11,0)*D197/1000</f>
        <v>6</v>
      </c>
      <c r="Q197" s="4">
        <f>IFERROR((P197/SUMIFS(P:P,O:O,O197)*SUMIFS('BUYER доставка'!L:L,'BUYER доставка'!A:A,O197))/D197,"")</f>
        <v>132.48879630789514</v>
      </c>
      <c r="R197" s="5">
        <f t="shared" si="10"/>
        <v>823.69552630789508</v>
      </c>
    </row>
    <row r="198" spans="1:18" x14ac:dyDescent="0.3">
      <c r="A198" s="49" t="s">
        <v>135</v>
      </c>
      <c r="B198" s="50" t="str">
        <f>VLOOKUP($A198,'Список товаров'!A:E,5,0)</f>
        <v>Металлическая модель автобуса, свет, звук, инерционный бежевый</v>
      </c>
      <c r="C198" s="51">
        <v>45917</v>
      </c>
      <c r="D198" s="50">
        <v>30</v>
      </c>
      <c r="E198" s="50"/>
      <c r="F198" s="50"/>
      <c r="G198" s="46" t="b">
        <f>Таблица8[[#This Row],[Количество]]=Таблица8[[#This Row],[Принято]]+Таблица8[[#This Row],[Брак]]</f>
        <v>0</v>
      </c>
      <c r="H198" s="11">
        <v>47.5</v>
      </c>
      <c r="I198" s="11">
        <f>Таблица8[[#This Row],[Количество]]*Таблица8[[#This Row],[Цена покупки CNY за единицу]]</f>
        <v>1425</v>
      </c>
      <c r="J198" s="57">
        <f>SUMIFS(Курсы_валют!E:E,Курсы_валют!B:B,"CNY")+0.3</f>
        <v>11.6561</v>
      </c>
      <c r="L198" s="57">
        <f>SUMIFS(Курсы_валют!E:E,Курсы_валют!B:B,"USD")</f>
        <v>81.225700000000003</v>
      </c>
      <c r="M198" s="3">
        <f>L198*K198+(Таблица8[[#This Row],[Цена покупки CNY]]*Таблица8[[#This Row],[Курс CNY]])</f>
        <v>16609.942500000001</v>
      </c>
      <c r="N198" s="3">
        <f t="shared" si="9"/>
        <v>553.66475000000003</v>
      </c>
      <c r="O198" t="s">
        <v>668</v>
      </c>
      <c r="P198" s="15">
        <f>VLOOKUP($A198,'Список товаров'!A:K,11,0)*D198/1000</f>
        <v>12</v>
      </c>
      <c r="Q198" s="4">
        <f>IFERROR((P198/SUMIFS(P:P,O:O,O198)*SUMIFS('BUYER доставка'!L:L,'BUYER доставка'!A:A,O198))/D198,"")</f>
        <v>132.48879630789514</v>
      </c>
      <c r="R198" s="5">
        <f t="shared" si="10"/>
        <v>686.15354630789511</v>
      </c>
    </row>
    <row r="199" spans="1:18" x14ac:dyDescent="0.3">
      <c r="A199" s="49" t="s">
        <v>137</v>
      </c>
      <c r="B199" s="50" t="str">
        <f>VLOOKUP($A199,'Список товаров'!A:E,5,0)</f>
        <v>Металлическая модель автобуса, свет, звук, инерционный синий</v>
      </c>
      <c r="C199" s="51">
        <v>45917</v>
      </c>
      <c r="D199" s="50">
        <v>30</v>
      </c>
      <c r="E199" s="50"/>
      <c r="F199" s="50"/>
      <c r="G199" s="46" t="b">
        <f>Таблица8[[#This Row],[Количество]]=Таблица8[[#This Row],[Принято]]+Таблица8[[#This Row],[Брак]]</f>
        <v>0</v>
      </c>
      <c r="H199" s="11">
        <v>47.5</v>
      </c>
      <c r="I199" s="11">
        <f>Таблица8[[#This Row],[Количество]]*Таблица8[[#This Row],[Цена покупки CNY за единицу]]</f>
        <v>1425</v>
      </c>
      <c r="J199" s="57">
        <f>SUMIFS(Курсы_валют!E:E,Курсы_валют!B:B,"CNY")+0.3</f>
        <v>11.6561</v>
      </c>
      <c r="L199" s="57">
        <f>SUMIFS(Курсы_валют!E:E,Курсы_валют!B:B,"USD")</f>
        <v>81.225700000000003</v>
      </c>
      <c r="M199" s="3">
        <f>L199*K199+(Таблица8[[#This Row],[Цена покупки CNY]]*Таблица8[[#This Row],[Курс CNY]])</f>
        <v>16609.942500000001</v>
      </c>
      <c r="N199" s="3">
        <f t="shared" si="9"/>
        <v>553.66475000000003</v>
      </c>
      <c r="O199" t="s">
        <v>668</v>
      </c>
      <c r="P199" s="15">
        <f>VLOOKUP($A199,'Список товаров'!A:K,11,0)*D199/1000</f>
        <v>12</v>
      </c>
      <c r="Q199" s="4">
        <f>IFERROR((P199/SUMIFS(P:P,O:O,O199)*SUMIFS('BUYER доставка'!L:L,'BUYER доставка'!A:A,O199))/D199,"")</f>
        <v>132.48879630789514</v>
      </c>
      <c r="R199" s="5">
        <f t="shared" si="10"/>
        <v>686.15354630789511</v>
      </c>
    </row>
    <row r="200" spans="1:18" x14ac:dyDescent="0.3">
      <c r="A200" s="49" t="s">
        <v>142</v>
      </c>
      <c r="B200" s="50" t="str">
        <f>VLOOKUP($A200,'Список товаров'!A:E,5,0)</f>
        <v>Металлическая модель автобуса, свет, звук, инерционный белый Аэропорт экспресс2</v>
      </c>
      <c r="C200" s="51">
        <v>45917</v>
      </c>
      <c r="D200" s="50">
        <v>27</v>
      </c>
      <c r="E200" s="50"/>
      <c r="F200" s="50"/>
      <c r="G200" s="46" t="b">
        <f>Таблица8[[#This Row],[Количество]]=Таблица8[[#This Row],[Принято]]+Таблица8[[#This Row],[Брак]]</f>
        <v>0</v>
      </c>
      <c r="H200" s="11">
        <v>47.5</v>
      </c>
      <c r="I200" s="11">
        <f>Таблица8[[#This Row],[Количество]]*Таблица8[[#This Row],[Цена покупки CNY за единицу]]</f>
        <v>1282.5</v>
      </c>
      <c r="J200" s="57">
        <f>SUMIFS(Курсы_валют!E:E,Курсы_валют!B:B,"CNY")+0.3</f>
        <v>11.6561</v>
      </c>
      <c r="L200" s="57">
        <f>SUMIFS(Курсы_валют!E:E,Курсы_валют!B:B,"USD")</f>
        <v>81.225700000000003</v>
      </c>
      <c r="M200" s="3">
        <f>L200*K200+(Таблица8[[#This Row],[Цена покупки CNY]]*Таблица8[[#This Row],[Курс CNY]])</f>
        <v>14948.948250000001</v>
      </c>
      <c r="N200" s="3">
        <f t="shared" si="9"/>
        <v>553.66475000000003</v>
      </c>
      <c r="O200" t="s">
        <v>668</v>
      </c>
      <c r="P200" s="15">
        <f>VLOOKUP($A200,'Список товаров'!A:K,11,0)*D200/1000</f>
        <v>10.8</v>
      </c>
      <c r="Q200" s="4">
        <f>IFERROR((P200/SUMIFS(P:P,O:O,O200)*SUMIFS('BUYER доставка'!L:L,'BUYER доставка'!A:A,O200))/D200,"")</f>
        <v>132.48879630789514</v>
      </c>
      <c r="R200" s="5">
        <f t="shared" si="10"/>
        <v>686.15354630789511</v>
      </c>
    </row>
    <row r="201" spans="1:18" x14ac:dyDescent="0.3">
      <c r="A201" s="49" t="s">
        <v>138</v>
      </c>
      <c r="B201" s="50" t="str">
        <f>VLOOKUP($A201,'Список товаров'!A:E,5,0)</f>
        <v>Металлическая модель автобуса инерционная, белая</v>
      </c>
      <c r="C201" s="51">
        <v>45917</v>
      </c>
      <c r="D201" s="50">
        <v>30</v>
      </c>
      <c r="E201" s="50"/>
      <c r="F201" s="50"/>
      <c r="G201" s="46" t="b">
        <f>Таблица8[[#This Row],[Количество]]=Таблица8[[#This Row],[Принято]]+Таблица8[[#This Row],[Брак]]</f>
        <v>0</v>
      </c>
      <c r="H201" s="11">
        <v>47.5</v>
      </c>
      <c r="I201" s="11">
        <f>Таблица8[[#This Row],[Количество]]*Таблица8[[#This Row],[Цена покупки CNY за единицу]]</f>
        <v>1425</v>
      </c>
      <c r="J201" s="57">
        <f>SUMIFS(Курсы_валют!E:E,Курсы_валют!B:B,"CNY")+0.3</f>
        <v>11.6561</v>
      </c>
      <c r="L201" s="57">
        <f>SUMIFS(Курсы_валют!E:E,Курсы_валют!B:B,"USD")</f>
        <v>81.225700000000003</v>
      </c>
      <c r="M201" s="3">
        <f>L201*K201+(Таблица8[[#This Row],[Цена покупки CNY]]*Таблица8[[#This Row],[Курс CNY]])</f>
        <v>16609.942500000001</v>
      </c>
      <c r="N201" s="3">
        <f t="shared" si="9"/>
        <v>553.66475000000003</v>
      </c>
      <c r="O201" t="s">
        <v>668</v>
      </c>
      <c r="P201" s="15">
        <f>VLOOKUP($A201,'Список товаров'!A:K,11,0)*D201/1000</f>
        <v>12</v>
      </c>
      <c r="Q201" s="4">
        <f>IFERROR((P201/SUMIFS(P:P,O:O,O201)*SUMIFS('BUYER доставка'!L:L,'BUYER доставка'!A:A,O201))/D201,"")</f>
        <v>132.48879630789514</v>
      </c>
      <c r="R201" s="5">
        <f t="shared" si="10"/>
        <v>686.15354630789511</v>
      </c>
    </row>
    <row r="202" spans="1:18" x14ac:dyDescent="0.3">
      <c r="A202" s="49" t="s">
        <v>141</v>
      </c>
      <c r="B202" s="50" t="str">
        <f>VLOOKUP($A202,'Список товаров'!A:E,5,0)</f>
        <v>Металлическая модель автобуса, свет, звук, инерционный белый Аэропорт экспресс1</v>
      </c>
      <c r="C202" s="51">
        <v>45917</v>
      </c>
      <c r="D202" s="50">
        <v>30</v>
      </c>
      <c r="E202" s="50"/>
      <c r="F202" s="50"/>
      <c r="G202" s="46" t="b">
        <f>Таблица8[[#This Row],[Количество]]=Таблица8[[#This Row],[Принято]]+Таблица8[[#This Row],[Брак]]</f>
        <v>0</v>
      </c>
      <c r="H202" s="11">
        <v>47.5</v>
      </c>
      <c r="I202" s="11">
        <f>Таблица8[[#This Row],[Количество]]*Таблица8[[#This Row],[Цена покупки CNY за единицу]]</f>
        <v>1425</v>
      </c>
      <c r="J202" s="57">
        <f>SUMIFS(Курсы_валют!E:E,Курсы_валют!B:B,"CNY")+0.3</f>
        <v>11.6561</v>
      </c>
      <c r="L202" s="57">
        <f>SUMIFS(Курсы_валют!E:E,Курсы_валют!B:B,"USD")</f>
        <v>81.225700000000003</v>
      </c>
      <c r="M202" s="3">
        <f>L202*K202+(Таблица8[[#This Row],[Цена покупки CNY]]*Таблица8[[#This Row],[Курс CNY]])</f>
        <v>16609.942500000001</v>
      </c>
      <c r="N202" s="3">
        <f t="shared" si="9"/>
        <v>553.66475000000003</v>
      </c>
      <c r="O202" t="s">
        <v>668</v>
      </c>
      <c r="P202" s="15">
        <f>VLOOKUP($A202,'Список товаров'!A:K,11,0)*D202/1000</f>
        <v>12</v>
      </c>
      <c r="Q202" s="4">
        <f>IFERROR((P202/SUMIFS(P:P,O:O,O202)*SUMIFS('BUYER доставка'!L:L,'BUYER доставка'!A:A,O202))/D202,"")</f>
        <v>132.48879630789514</v>
      </c>
      <c r="R202" s="5">
        <f t="shared" si="10"/>
        <v>686.15354630789511</v>
      </c>
    </row>
    <row r="203" spans="1:18" x14ac:dyDescent="0.3">
      <c r="A203" s="49" t="s">
        <v>176</v>
      </c>
      <c r="B203" s="50" t="str">
        <f>VLOOKUP($A203,'Список товаров'!A:E,5,0)</f>
        <v>2-х этажный металлический автобус, синий</v>
      </c>
      <c r="C203" s="51">
        <v>45917</v>
      </c>
      <c r="D203" s="50">
        <v>15</v>
      </c>
      <c r="E203" s="50"/>
      <c r="F203" s="50"/>
      <c r="G203" s="46" t="b">
        <f>Таблица8[[#This Row],[Количество]]=Таблица8[[#This Row],[Принято]]+Таблица8[[#This Row],[Брак]]</f>
        <v>0</v>
      </c>
      <c r="H203" s="11">
        <v>46.5</v>
      </c>
      <c r="I203" s="11">
        <f>Таблица8[[#This Row],[Количество]]*Таблица8[[#This Row],[Цена покупки CNY за единицу]]</f>
        <v>697.5</v>
      </c>
      <c r="J203" s="57">
        <f>SUMIFS(Курсы_валют!E:E,Курсы_валют!B:B,"CNY")+0.3</f>
        <v>11.6561</v>
      </c>
      <c r="L203" s="57">
        <f>SUMIFS(Курсы_валют!E:E,Курсы_валют!B:B,"USD")</f>
        <v>81.225700000000003</v>
      </c>
      <c r="M203" s="3">
        <f>L203*K203+(Таблица8[[#This Row],[Цена покупки CNY]]*Таблица8[[#This Row],[Курс CNY]])</f>
        <v>8130.1297500000001</v>
      </c>
      <c r="N203" s="3">
        <f t="shared" si="9"/>
        <v>542.00864999999999</v>
      </c>
      <c r="O203" t="s">
        <v>668</v>
      </c>
      <c r="P203" s="15">
        <f>VLOOKUP($A203,'Список товаров'!A:K,11,0)*D203/1000</f>
        <v>6</v>
      </c>
      <c r="Q203" s="4">
        <f>IFERROR((P203/SUMIFS(P:P,O:O,O203)*SUMIFS('BUYER доставка'!L:L,'BUYER доставка'!A:A,O203))/D203,"")</f>
        <v>132.48879630789514</v>
      </c>
      <c r="R203" s="5">
        <f t="shared" si="10"/>
        <v>674.49744630789519</v>
      </c>
    </row>
    <row r="204" spans="1:18" x14ac:dyDescent="0.3">
      <c r="A204" s="49" t="s">
        <v>174</v>
      </c>
      <c r="B204" s="50" t="str">
        <f>VLOOKUP($A204,'Список товаров'!A:E,5,0)</f>
        <v>2-х этажный металлический автобус, белый</v>
      </c>
      <c r="C204" s="51">
        <v>45917</v>
      </c>
      <c r="D204" s="50">
        <v>15</v>
      </c>
      <c r="E204" s="50"/>
      <c r="F204" s="50"/>
      <c r="G204" s="46" t="b">
        <f>Таблица8[[#This Row],[Количество]]=Таблица8[[#This Row],[Принято]]+Таблица8[[#This Row],[Брак]]</f>
        <v>0</v>
      </c>
      <c r="H204" s="11">
        <v>46.5</v>
      </c>
      <c r="I204" s="11">
        <f>Таблица8[[#This Row],[Количество]]*Таблица8[[#This Row],[Цена покупки CNY за единицу]]</f>
        <v>697.5</v>
      </c>
      <c r="J204" s="57">
        <f>SUMIFS(Курсы_валют!E:E,Курсы_валют!B:B,"CNY")+0.3</f>
        <v>11.6561</v>
      </c>
      <c r="L204" s="57">
        <f>SUMIFS(Курсы_валют!E:E,Курсы_валют!B:B,"USD")</f>
        <v>81.225700000000003</v>
      </c>
      <c r="M204" s="3">
        <f>L204*K204+(Таблица8[[#This Row],[Цена покупки CNY]]*Таблица8[[#This Row],[Курс CNY]])</f>
        <v>8130.1297500000001</v>
      </c>
      <c r="N204" s="3">
        <f t="shared" si="9"/>
        <v>542.00864999999999</v>
      </c>
      <c r="O204" t="s">
        <v>668</v>
      </c>
      <c r="P204" s="15">
        <f>VLOOKUP($A204,'Список товаров'!A:K,11,0)*D204/1000</f>
        <v>6</v>
      </c>
      <c r="Q204" s="4">
        <f>IFERROR((P204/SUMIFS(P:P,O:O,O204)*SUMIFS('BUYER доставка'!L:L,'BUYER доставка'!A:A,O204))/D204,"")</f>
        <v>132.48879630789514</v>
      </c>
      <c r="R204" s="5">
        <f t="shared" si="10"/>
        <v>674.49744630789519</v>
      </c>
    </row>
    <row r="205" spans="1:18" x14ac:dyDescent="0.3">
      <c r="A205" s="49" t="s">
        <v>581</v>
      </c>
      <c r="B205" s="50" t="str">
        <f>VLOOKUP($A205,'Список товаров'!A:E,5,0)</f>
        <v>2-х этажный металлический автобус, бежевый</v>
      </c>
      <c r="C205" s="51">
        <v>45917</v>
      </c>
      <c r="D205" s="50">
        <v>15</v>
      </c>
      <c r="E205" s="50"/>
      <c r="F205" s="50"/>
      <c r="G205" s="46" t="b">
        <f>Таблица8[[#This Row],[Количество]]=Таблица8[[#This Row],[Принято]]+Таблица8[[#This Row],[Брак]]</f>
        <v>0</v>
      </c>
      <c r="H205" s="11">
        <v>46.5</v>
      </c>
      <c r="I205" s="11">
        <f>Таблица8[[#This Row],[Количество]]*Таблица8[[#This Row],[Цена покупки CNY за единицу]]</f>
        <v>697.5</v>
      </c>
      <c r="J205" s="57">
        <f>SUMIFS(Курсы_валют!E:E,Курсы_валют!B:B,"CNY")+0.3</f>
        <v>11.6561</v>
      </c>
      <c r="L205" s="57">
        <f>SUMIFS(Курсы_валют!E:E,Курсы_валют!B:B,"USD")</f>
        <v>81.225700000000003</v>
      </c>
      <c r="M205" s="3">
        <f>L205*K205+(Таблица8[[#This Row],[Цена покупки CNY]]*Таблица8[[#This Row],[Курс CNY]])</f>
        <v>8130.1297500000001</v>
      </c>
      <c r="N205" s="3">
        <f t="shared" si="9"/>
        <v>542.00864999999999</v>
      </c>
      <c r="O205" t="s">
        <v>668</v>
      </c>
      <c r="P205" s="15">
        <f>VLOOKUP($A205,'Список товаров'!A:K,11,0)*D205/1000</f>
        <v>6</v>
      </c>
      <c r="Q205" s="4">
        <f>IFERROR((P205/SUMIFS(P:P,O:O,O205)*SUMIFS('BUYER доставка'!L:L,'BUYER доставка'!A:A,O205))/D205,"")</f>
        <v>132.48879630789514</v>
      </c>
      <c r="R205" s="5">
        <f t="shared" si="10"/>
        <v>674.49744630789519</v>
      </c>
    </row>
    <row r="206" spans="1:18" x14ac:dyDescent="0.3">
      <c r="A206" s="49" t="s">
        <v>165</v>
      </c>
      <c r="B206" s="50" t="str">
        <f>VLOOKUP($A206,'Список товаров'!A:E,5,0)</f>
        <v>Сборная модель Ford 2018 Mustang GT 1:42 Синяя</v>
      </c>
      <c r="C206" s="51">
        <v>45917</v>
      </c>
      <c r="D206" s="50">
        <v>20</v>
      </c>
      <c r="E206" s="50"/>
      <c r="F206" s="50"/>
      <c r="G206" s="46" t="b">
        <f>Таблица8[[#This Row],[Количество]]=Таблица8[[#This Row],[Принято]]+Таблица8[[#This Row],[Брак]]</f>
        <v>0</v>
      </c>
      <c r="H206" s="11">
        <v>26</v>
      </c>
      <c r="I206" s="11">
        <f>Таблица8[[#This Row],[Количество]]*Таблица8[[#This Row],[Цена покупки CNY за единицу]]</f>
        <v>520</v>
      </c>
      <c r="J206" s="57">
        <f>SUMIFS(Курсы_валют!E:E,Курсы_валют!B:B,"CNY")+0.3</f>
        <v>11.6561</v>
      </c>
      <c r="L206" s="57">
        <f>SUMIFS(Курсы_валют!E:E,Курсы_валют!B:B,"USD")</f>
        <v>81.225700000000003</v>
      </c>
      <c r="M206" s="3">
        <f>L206*K206+(Таблица8[[#This Row],[Цена покупки CNY]]*Таблица8[[#This Row],[Курс CNY]])</f>
        <v>6061.1720000000005</v>
      </c>
      <c r="N206" s="3">
        <f t="shared" si="9"/>
        <v>303.05860000000001</v>
      </c>
      <c r="O206" t="s">
        <v>668</v>
      </c>
      <c r="P206" s="15">
        <f>VLOOKUP($A206,'Список товаров'!A:K,11,0)*D206/1000</f>
        <v>4.4000000000000004</v>
      </c>
      <c r="Q206" s="4">
        <f>IFERROR((P206/SUMIFS(P:P,O:O,O206)*SUMIFS('BUYER доставка'!L:L,'BUYER доставка'!A:A,O206))/D206,"")</f>
        <v>72.868837969342323</v>
      </c>
      <c r="R206" s="5">
        <f t="shared" si="10"/>
        <v>375.92743796934235</v>
      </c>
    </row>
    <row r="207" spans="1:18" x14ac:dyDescent="0.3">
      <c r="A207" s="49" t="s">
        <v>167</v>
      </c>
      <c r="B207" s="50" t="str">
        <f>VLOOKUP($A207,'Список товаров'!A:E,5,0)</f>
        <v>Сборная модель Ford 2018 Mustang GT 1:42 Красная</v>
      </c>
      <c r="C207" s="51">
        <v>45917</v>
      </c>
      <c r="D207" s="50">
        <v>20</v>
      </c>
      <c r="E207" s="50"/>
      <c r="F207" s="50"/>
      <c r="G207" s="46" t="b">
        <f>Таблица8[[#This Row],[Количество]]=Таблица8[[#This Row],[Принято]]+Таблица8[[#This Row],[Брак]]</f>
        <v>0</v>
      </c>
      <c r="H207" s="11">
        <v>26</v>
      </c>
      <c r="I207" s="11">
        <f>Таблица8[[#This Row],[Количество]]*Таблица8[[#This Row],[Цена покупки CNY за единицу]]</f>
        <v>520</v>
      </c>
      <c r="J207" s="57">
        <f>SUMIFS(Курсы_валют!E:E,Курсы_валют!B:B,"CNY")+0.3</f>
        <v>11.6561</v>
      </c>
      <c r="L207" s="57">
        <f>SUMIFS(Курсы_валют!E:E,Курсы_валют!B:B,"USD")</f>
        <v>81.225700000000003</v>
      </c>
      <c r="M207" s="3">
        <f>L207*K207+(Таблица8[[#This Row],[Цена покупки CNY]]*Таблица8[[#This Row],[Курс CNY]])</f>
        <v>6061.1720000000005</v>
      </c>
      <c r="N207" s="3">
        <f t="shared" si="9"/>
        <v>303.05860000000001</v>
      </c>
      <c r="O207" t="s">
        <v>668</v>
      </c>
      <c r="P207" s="15">
        <f>VLOOKUP($A207,'Список товаров'!A:K,11,0)*D207/1000</f>
        <v>4.4000000000000004</v>
      </c>
      <c r="Q207" s="4">
        <f>IFERROR((P207/SUMIFS(P:P,O:O,O207)*SUMIFS('BUYER доставка'!L:L,'BUYER доставка'!A:A,O207))/D207,"")</f>
        <v>72.868837969342323</v>
      </c>
      <c r="R207" s="5">
        <f t="shared" si="10"/>
        <v>375.92743796934235</v>
      </c>
    </row>
    <row r="208" spans="1:18" x14ac:dyDescent="0.3">
      <c r="A208" s="49" t="s">
        <v>164</v>
      </c>
      <c r="B208" s="50" t="str">
        <f>VLOOKUP($A208,'Список товаров'!A:E,5,0)</f>
        <v>Сборная модель Ford 2018 Mustang GT 1:42 Желтая</v>
      </c>
      <c r="C208" s="51">
        <v>45917</v>
      </c>
      <c r="D208" s="50">
        <v>10</v>
      </c>
      <c r="E208" s="50"/>
      <c r="F208" s="50"/>
      <c r="G208" s="46" t="b">
        <f>Таблица8[[#This Row],[Количество]]=Таблица8[[#This Row],[Принято]]+Таблица8[[#This Row],[Брак]]</f>
        <v>0</v>
      </c>
      <c r="H208" s="11">
        <v>26</v>
      </c>
      <c r="I208" s="11">
        <f>Таблица8[[#This Row],[Количество]]*Таблица8[[#This Row],[Цена покупки CNY за единицу]]</f>
        <v>260</v>
      </c>
      <c r="J208" s="57">
        <f>SUMIFS(Курсы_валют!E:E,Курсы_валют!B:B,"CNY")+0.3</f>
        <v>11.6561</v>
      </c>
      <c r="L208" s="57">
        <f>SUMIFS(Курсы_валют!E:E,Курсы_валют!B:B,"USD")</f>
        <v>81.225700000000003</v>
      </c>
      <c r="M208" s="3">
        <f>L208*K208+(Таблица8[[#This Row],[Цена покупки CNY]]*Таблица8[[#This Row],[Курс CNY]])</f>
        <v>3030.5860000000002</v>
      </c>
      <c r="N208" s="3">
        <f t="shared" si="9"/>
        <v>303.05860000000001</v>
      </c>
      <c r="O208" t="s">
        <v>668</v>
      </c>
      <c r="P208" s="15">
        <f>VLOOKUP($A208,'Список товаров'!A:K,11,0)*D208/1000</f>
        <v>2.2000000000000002</v>
      </c>
      <c r="Q208" s="4">
        <f>IFERROR((P208/SUMIFS(P:P,O:O,O208)*SUMIFS('BUYER доставка'!L:L,'BUYER доставка'!A:A,O208))/D208,"")</f>
        <v>72.868837969342323</v>
      </c>
      <c r="R208" s="5">
        <f t="shared" si="10"/>
        <v>375.92743796934235</v>
      </c>
    </row>
    <row r="209" spans="1:18" x14ac:dyDescent="0.3">
      <c r="A209" s="49" t="s">
        <v>168</v>
      </c>
      <c r="B209" s="50" t="str">
        <f>VLOOKUP($A209,'Список товаров'!A:E,5,0)</f>
        <v>Сборная модель Land Rover Defender 110 1:42 Зеленая</v>
      </c>
      <c r="C209" s="51">
        <v>45917</v>
      </c>
      <c r="D209" s="50">
        <v>40</v>
      </c>
      <c r="E209" s="50"/>
      <c r="F209" s="50"/>
      <c r="G209" s="46" t="b">
        <f>Таблица8[[#This Row],[Количество]]=Таблица8[[#This Row],[Принято]]+Таблица8[[#This Row],[Брак]]</f>
        <v>0</v>
      </c>
      <c r="H209" s="11">
        <v>29</v>
      </c>
      <c r="I209" s="11">
        <f>Таблица8[[#This Row],[Количество]]*Таблица8[[#This Row],[Цена покупки CNY за единицу]]</f>
        <v>1160</v>
      </c>
      <c r="J209" s="57">
        <f>SUMIFS(Курсы_валют!E:E,Курсы_валют!B:B,"CNY")+0.3</f>
        <v>11.6561</v>
      </c>
      <c r="L209" s="57">
        <f>SUMIFS(Курсы_валют!E:E,Курсы_валют!B:B,"USD")</f>
        <v>81.225700000000003</v>
      </c>
      <c r="M209" s="3">
        <f>L209*K209+(Таблица8[[#This Row],[Цена покупки CNY]]*Таблица8[[#This Row],[Курс CNY]])</f>
        <v>13521.076000000001</v>
      </c>
      <c r="N209" s="3">
        <f t="shared" si="9"/>
        <v>338.02690000000001</v>
      </c>
      <c r="O209" t="s">
        <v>668</v>
      </c>
      <c r="P209" s="15">
        <f>VLOOKUP($A209,'Список товаров'!A:K,11,0)*D209/1000</f>
        <v>8.8000000000000007</v>
      </c>
      <c r="Q209" s="4">
        <f>IFERROR((P209/SUMIFS(P:P,O:O,O209)*SUMIFS('BUYER доставка'!L:L,'BUYER доставка'!A:A,O209))/D209,"")</f>
        <v>72.868837969342323</v>
      </c>
      <c r="R209" s="5">
        <f t="shared" si="10"/>
        <v>410.89573796934235</v>
      </c>
    </row>
    <row r="210" spans="1:18" x14ac:dyDescent="0.3">
      <c r="A210" s="49" t="s">
        <v>166</v>
      </c>
      <c r="B210" s="50" t="str">
        <f>VLOOKUP($A210,'Список товаров'!A:E,5,0)</f>
        <v>Сборная модель Land Rover Defender 110 1:42 Красная</v>
      </c>
      <c r="C210" s="51">
        <v>45917</v>
      </c>
      <c r="D210" s="50">
        <v>50</v>
      </c>
      <c r="E210" s="50"/>
      <c r="F210" s="50"/>
      <c r="G210" s="46" t="b">
        <f>Таблица8[[#This Row],[Количество]]=Таблица8[[#This Row],[Принято]]+Таблица8[[#This Row],[Брак]]</f>
        <v>0</v>
      </c>
      <c r="H210" s="11">
        <v>29</v>
      </c>
      <c r="I210" s="11">
        <f>Таблица8[[#This Row],[Количество]]*Таблица8[[#This Row],[Цена покупки CNY за единицу]]</f>
        <v>1450</v>
      </c>
      <c r="J210" s="57">
        <f>SUMIFS(Курсы_валют!E:E,Курсы_валют!B:B,"CNY")+0.3</f>
        <v>11.6561</v>
      </c>
      <c r="L210" s="57">
        <f>SUMIFS(Курсы_валют!E:E,Курсы_валют!B:B,"USD")</f>
        <v>81.225700000000003</v>
      </c>
      <c r="M210" s="3">
        <f>L210*K210+(Таблица8[[#This Row],[Цена покупки CNY]]*Таблица8[[#This Row],[Курс CNY]])</f>
        <v>16901.345000000001</v>
      </c>
      <c r="N210" s="3">
        <f t="shared" si="9"/>
        <v>338.02690000000001</v>
      </c>
      <c r="O210" t="s">
        <v>668</v>
      </c>
      <c r="P210" s="15">
        <f>VLOOKUP($A210,'Список товаров'!A:K,11,0)*D210/1000</f>
        <v>11</v>
      </c>
      <c r="Q210" s="4">
        <f>IFERROR((P210/SUMIFS(P:P,O:O,O210)*SUMIFS('BUYER доставка'!L:L,'BUYER доставка'!A:A,O210))/D210,"")</f>
        <v>72.868837969342337</v>
      </c>
      <c r="R210" s="5">
        <f t="shared" si="10"/>
        <v>410.89573796934235</v>
      </c>
    </row>
    <row r="211" spans="1:18" x14ac:dyDescent="0.3">
      <c r="A211" s="49" t="s">
        <v>172</v>
      </c>
      <c r="B211" s="50" t="str">
        <f>VLOOKUP($A211,'Список товаров'!A:E,5,0)</f>
        <v>Сборная модель Land Rover Defender 110 1:42 Серая</v>
      </c>
      <c r="C211" s="51">
        <v>45917</v>
      </c>
      <c r="D211" s="50">
        <v>25</v>
      </c>
      <c r="E211" s="50"/>
      <c r="F211" s="50"/>
      <c r="G211" s="46" t="b">
        <f>Таблица8[[#This Row],[Количество]]=Таблица8[[#This Row],[Принято]]+Таблица8[[#This Row],[Брак]]</f>
        <v>0</v>
      </c>
      <c r="H211" s="11">
        <v>29</v>
      </c>
      <c r="I211" s="11">
        <f>Таблица8[[#This Row],[Количество]]*Таблица8[[#This Row],[Цена покупки CNY за единицу]]</f>
        <v>725</v>
      </c>
      <c r="J211" s="57">
        <f>SUMIFS(Курсы_валют!E:E,Курсы_валют!B:B,"CNY")+0.3</f>
        <v>11.6561</v>
      </c>
      <c r="L211" s="57">
        <f>SUMIFS(Курсы_валют!E:E,Курсы_валют!B:B,"USD")</f>
        <v>81.225700000000003</v>
      </c>
      <c r="M211" s="3">
        <f>L211*K211+(Таблица8[[#This Row],[Цена покупки CNY]]*Таблица8[[#This Row],[Курс CNY]])</f>
        <v>8450.6725000000006</v>
      </c>
      <c r="N211" s="3">
        <f t="shared" si="9"/>
        <v>338.02690000000001</v>
      </c>
      <c r="O211" t="s">
        <v>668</v>
      </c>
      <c r="P211" s="15">
        <f>VLOOKUP($A211,'Список товаров'!A:K,11,0)*D211/1000</f>
        <v>5.5</v>
      </c>
      <c r="Q211" s="4">
        <f>IFERROR((P211/SUMIFS(P:P,O:O,O211)*SUMIFS('BUYER доставка'!L:L,'BUYER доставка'!A:A,O211))/D211,"")</f>
        <v>72.868837969342337</v>
      </c>
      <c r="R211" s="5">
        <f t="shared" si="10"/>
        <v>410.89573796934235</v>
      </c>
    </row>
    <row r="212" spans="1:18" x14ac:dyDescent="0.3">
      <c r="A212" s="49" t="s">
        <v>169</v>
      </c>
      <c r="B212" s="50" t="str">
        <f>VLOOKUP($A212,'Список товаров'!A:E,5,0)</f>
        <v>Сборная модель Dodge Challenger Hellcat 1:36 Черная</v>
      </c>
      <c r="C212" s="51">
        <v>45917</v>
      </c>
      <c r="D212" s="50">
        <v>30</v>
      </c>
      <c r="E212" s="50"/>
      <c r="F212" s="50"/>
      <c r="G212" s="46" t="b">
        <f>Таблица8[[#This Row],[Количество]]=Таблица8[[#This Row],[Принято]]+Таблица8[[#This Row],[Брак]]</f>
        <v>0</v>
      </c>
      <c r="H212" s="11">
        <v>46</v>
      </c>
      <c r="I212" s="11">
        <f>Таблица8[[#This Row],[Количество]]*Таблица8[[#This Row],[Цена покупки CNY за единицу]]</f>
        <v>1380</v>
      </c>
      <c r="J212" s="57">
        <f>SUMIFS(Курсы_валют!E:E,Курсы_валют!B:B,"CNY")+0.3</f>
        <v>11.6561</v>
      </c>
      <c r="L212" s="57">
        <f>SUMIFS(Курсы_валют!E:E,Курсы_валют!B:B,"USD")</f>
        <v>81.225700000000003</v>
      </c>
      <c r="M212" s="3">
        <f>L212*K212+(Таблица8[[#This Row],[Цена покупки CNY]]*Таблица8[[#This Row],[Курс CNY]])</f>
        <v>16085.418</v>
      </c>
      <c r="N212" s="3">
        <f t="shared" si="9"/>
        <v>536.18060000000003</v>
      </c>
      <c r="O212" t="s">
        <v>668</v>
      </c>
      <c r="P212" s="15">
        <f>VLOOKUP($A212,'Список товаров'!A:K,11,0)*D212/1000</f>
        <v>6.6</v>
      </c>
      <c r="Q212" s="4">
        <f>IFERROR((P212/SUMIFS(P:P,O:O,O212)*SUMIFS('BUYER доставка'!L:L,'BUYER доставка'!A:A,O212))/D212,"")</f>
        <v>72.868837969342323</v>
      </c>
      <c r="R212" s="5">
        <f t="shared" si="10"/>
        <v>609.04943796934231</v>
      </c>
    </row>
    <row r="213" spans="1:18" x14ac:dyDescent="0.3">
      <c r="A213" s="49" t="s">
        <v>170</v>
      </c>
      <c r="B213" s="50" t="str">
        <f>VLOOKUP($A213,'Список товаров'!A:E,5,0)</f>
        <v>Сборная модель Dodge Challenger Hellcat 1:36 Зеленая</v>
      </c>
      <c r="C213" s="51">
        <v>45917</v>
      </c>
      <c r="D213" s="50">
        <v>20</v>
      </c>
      <c r="E213" s="50"/>
      <c r="F213" s="50"/>
      <c r="G213" s="46" t="b">
        <f>Таблица8[[#This Row],[Количество]]=Таблица8[[#This Row],[Принято]]+Таблица8[[#This Row],[Брак]]</f>
        <v>0</v>
      </c>
      <c r="H213" s="11">
        <v>46</v>
      </c>
      <c r="I213" s="11">
        <f>Таблица8[[#This Row],[Количество]]*Таблица8[[#This Row],[Цена покупки CNY за единицу]]</f>
        <v>920</v>
      </c>
      <c r="J213" s="57">
        <f>SUMIFS(Курсы_валют!E:E,Курсы_валют!B:B,"CNY")+0.3</f>
        <v>11.6561</v>
      </c>
      <c r="L213" s="57">
        <f>SUMIFS(Курсы_валют!E:E,Курсы_валют!B:B,"USD")</f>
        <v>81.225700000000003</v>
      </c>
      <c r="M213" s="3">
        <f>L213*K213+(Таблица8[[#This Row],[Цена покупки CNY]]*Таблица8[[#This Row],[Курс CNY]])</f>
        <v>10723.612000000001</v>
      </c>
      <c r="N213" s="3">
        <f t="shared" si="9"/>
        <v>536.18060000000003</v>
      </c>
      <c r="O213" t="s">
        <v>668</v>
      </c>
      <c r="P213" s="15">
        <f>VLOOKUP($A213,'Список товаров'!A:K,11,0)*D213/1000</f>
        <v>4.4000000000000004</v>
      </c>
      <c r="Q213" s="4">
        <f>IFERROR((P213/SUMIFS(P:P,O:O,O213)*SUMIFS('BUYER доставка'!L:L,'BUYER доставка'!A:A,O213))/D213,"")</f>
        <v>72.868837969342323</v>
      </c>
      <c r="R213" s="5">
        <f t="shared" si="10"/>
        <v>609.04943796934231</v>
      </c>
    </row>
    <row r="214" spans="1:18" x14ac:dyDescent="0.3">
      <c r="A214" s="49" t="s">
        <v>173</v>
      </c>
      <c r="B214" s="50" t="str">
        <f>VLOOKUP($A214,'Список товаров'!A:E,5,0)</f>
        <v>Сборная модель Dodge Challenger Hellcat 1:36 Красная</v>
      </c>
      <c r="C214" s="51">
        <v>45917</v>
      </c>
      <c r="D214" s="50">
        <v>40</v>
      </c>
      <c r="E214" s="50"/>
      <c r="F214" s="50"/>
      <c r="G214" s="46" t="b">
        <f>Таблица8[[#This Row],[Количество]]=Таблица8[[#This Row],[Принято]]+Таблица8[[#This Row],[Брак]]</f>
        <v>0</v>
      </c>
      <c r="H214" s="11">
        <v>46</v>
      </c>
      <c r="I214" s="11">
        <f>Таблица8[[#This Row],[Количество]]*Таблица8[[#This Row],[Цена покупки CNY за единицу]]</f>
        <v>1840</v>
      </c>
      <c r="J214" s="57">
        <f>SUMIFS(Курсы_валют!E:E,Курсы_валют!B:B,"CNY")+0.3</f>
        <v>11.6561</v>
      </c>
      <c r="L214" s="57">
        <f>SUMIFS(Курсы_валют!E:E,Курсы_валют!B:B,"USD")</f>
        <v>81.225700000000003</v>
      </c>
      <c r="M214" s="3">
        <f>L214*K214+(Таблица8[[#This Row],[Цена покупки CNY]]*Таблица8[[#This Row],[Курс CNY]])</f>
        <v>21447.224000000002</v>
      </c>
      <c r="N214" s="3">
        <f t="shared" si="9"/>
        <v>536.18060000000003</v>
      </c>
      <c r="O214" t="s">
        <v>668</v>
      </c>
      <c r="P214" s="15">
        <f>VLOOKUP($A214,'Список товаров'!A:K,11,0)*D214/1000</f>
        <v>8.8000000000000007</v>
      </c>
      <c r="Q214" s="4">
        <f>IFERROR((P214/SUMIFS(P:P,O:O,O214)*SUMIFS('BUYER доставка'!L:L,'BUYER доставка'!A:A,O214))/D214,"")</f>
        <v>72.868837969342323</v>
      </c>
      <c r="R214" s="5">
        <f t="shared" si="10"/>
        <v>609.04943796934231</v>
      </c>
    </row>
    <row r="215" spans="1:18" x14ac:dyDescent="0.3">
      <c r="A215" s="49" t="s">
        <v>568</v>
      </c>
      <c r="B215" s="50" t="str">
        <f>VLOOKUP($A215,'Список товаров'!A:E,5,0)</f>
        <v>Сборная модель 1:32 Suzuki jimny синяя</v>
      </c>
      <c r="C215" s="51">
        <v>45917</v>
      </c>
      <c r="D215" s="50">
        <v>15</v>
      </c>
      <c r="E215" s="50"/>
      <c r="F215" s="50"/>
      <c r="G215" s="46" t="b">
        <f>Таблица8[[#This Row],[Количество]]=Таблица8[[#This Row],[Принято]]+Таблица8[[#This Row],[Брак]]</f>
        <v>0</v>
      </c>
      <c r="H215" s="11">
        <v>29</v>
      </c>
      <c r="I215" s="11">
        <f>Таблица8[[#This Row],[Количество]]*Таблица8[[#This Row],[Цена покупки CNY за единицу]]</f>
        <v>435</v>
      </c>
      <c r="J215" s="57">
        <f>SUMIFS(Курсы_валют!E:E,Курсы_валют!B:B,"CNY")+0.3</f>
        <v>11.6561</v>
      </c>
      <c r="L215" s="57">
        <f>SUMIFS(Курсы_валют!E:E,Курсы_валют!B:B,"USD")</f>
        <v>81.225700000000003</v>
      </c>
      <c r="M215" s="3">
        <f>L215*K215+(Таблица8[[#This Row],[Цена покупки CNY]]*Таблица8[[#This Row],[Курс CNY]])</f>
        <v>5070.4035000000003</v>
      </c>
      <c r="N215" s="3">
        <f t="shared" si="9"/>
        <v>338.02690000000001</v>
      </c>
      <c r="O215" t="s">
        <v>668</v>
      </c>
      <c r="P215" s="15">
        <f>VLOOKUP($A215,'Список товаров'!A:K,11,0)*D215/1000</f>
        <v>3.3</v>
      </c>
      <c r="Q215" s="4">
        <f>IFERROR((P215/SUMIFS(P:P,O:O,O215)*SUMIFS('BUYER доставка'!L:L,'BUYER доставка'!A:A,O215))/D215,"")</f>
        <v>72.868837969342323</v>
      </c>
      <c r="R215" s="5">
        <f t="shared" si="10"/>
        <v>410.89573796934235</v>
      </c>
    </row>
    <row r="216" spans="1:18" x14ac:dyDescent="0.3">
      <c r="A216" s="49" t="s">
        <v>572</v>
      </c>
      <c r="B216" s="50" t="str">
        <f>VLOOKUP($A216,'Список товаров'!A:E,5,0)</f>
        <v>Сборная модель 1:32 Suzuki jimny Зеленая</v>
      </c>
      <c r="C216" s="51">
        <v>45917</v>
      </c>
      <c r="D216" s="50">
        <v>15</v>
      </c>
      <c r="E216" s="50"/>
      <c r="F216" s="50"/>
      <c r="G216" s="46" t="b">
        <f>Таблица8[[#This Row],[Количество]]=Таблица8[[#This Row],[Принято]]+Таблица8[[#This Row],[Брак]]</f>
        <v>0</v>
      </c>
      <c r="H216" s="11">
        <v>29</v>
      </c>
      <c r="I216" s="11">
        <f>Таблица8[[#This Row],[Количество]]*Таблица8[[#This Row],[Цена покупки CNY за единицу]]</f>
        <v>435</v>
      </c>
      <c r="J216" s="57">
        <f>SUMIFS(Курсы_валют!E:E,Курсы_валют!B:B,"CNY")+0.3</f>
        <v>11.6561</v>
      </c>
      <c r="L216" s="57">
        <f>SUMIFS(Курсы_валют!E:E,Курсы_валют!B:B,"USD")</f>
        <v>81.225700000000003</v>
      </c>
      <c r="M216" s="3">
        <f>L216*K216+(Таблица8[[#This Row],[Цена покупки CNY]]*Таблица8[[#This Row],[Курс CNY]])</f>
        <v>5070.4035000000003</v>
      </c>
      <c r="N216" s="3">
        <f t="shared" si="9"/>
        <v>338.02690000000001</v>
      </c>
      <c r="O216" t="s">
        <v>668</v>
      </c>
      <c r="P216" s="15">
        <f>VLOOKUP($A216,'Список товаров'!A:K,11,0)*D216/1000</f>
        <v>3.3</v>
      </c>
      <c r="Q216" s="4">
        <f>IFERROR((P216/SUMIFS(P:P,O:O,O216)*SUMIFS('BUYER доставка'!L:L,'BUYER доставка'!A:A,O216))/D216,"")</f>
        <v>72.868837969342323</v>
      </c>
      <c r="R216" s="5">
        <f t="shared" si="10"/>
        <v>410.89573796934235</v>
      </c>
    </row>
    <row r="217" spans="1:18" x14ac:dyDescent="0.3">
      <c r="A217" s="49" t="s">
        <v>569</v>
      </c>
      <c r="B217" s="50" t="str">
        <f>VLOOKUP($A217,'Список товаров'!A:E,5,0)</f>
        <v>Сборная модель 1:32 Suzuki jimny красная</v>
      </c>
      <c r="C217" s="51">
        <v>45917</v>
      </c>
      <c r="D217" s="50">
        <v>15</v>
      </c>
      <c r="E217" s="50"/>
      <c r="F217" s="50"/>
      <c r="G217" s="46" t="b">
        <f>Таблица8[[#This Row],[Количество]]=Таблица8[[#This Row],[Принято]]+Таблица8[[#This Row],[Брак]]</f>
        <v>0</v>
      </c>
      <c r="H217" s="11">
        <v>29</v>
      </c>
      <c r="I217" s="11">
        <f>Таблица8[[#This Row],[Количество]]*Таблица8[[#This Row],[Цена покупки CNY за единицу]]</f>
        <v>435</v>
      </c>
      <c r="J217" s="57">
        <f>SUMIFS(Курсы_валют!E:E,Курсы_валют!B:B,"CNY")+0.3</f>
        <v>11.6561</v>
      </c>
      <c r="L217" s="57">
        <f>SUMIFS(Курсы_валют!E:E,Курсы_валют!B:B,"USD")</f>
        <v>81.225700000000003</v>
      </c>
      <c r="M217" s="3">
        <f>L217*K217+(Таблица8[[#This Row],[Цена покупки CNY]]*Таблица8[[#This Row],[Курс CNY]])</f>
        <v>5070.4035000000003</v>
      </c>
      <c r="N217" s="3">
        <f t="shared" si="9"/>
        <v>338.02690000000001</v>
      </c>
      <c r="O217" t="s">
        <v>668</v>
      </c>
      <c r="P217" s="15">
        <f>VLOOKUP($A217,'Список товаров'!A:K,11,0)*D217/1000</f>
        <v>3.3</v>
      </c>
      <c r="Q217" s="4">
        <f>IFERROR((P217/SUMIFS(P:P,O:O,O217)*SUMIFS('BUYER доставка'!L:L,'BUYER доставка'!A:A,O217))/D217,"")</f>
        <v>72.868837969342323</v>
      </c>
      <c r="R217" s="5">
        <f t="shared" si="10"/>
        <v>410.89573796934235</v>
      </c>
    </row>
    <row r="218" spans="1:18" x14ac:dyDescent="0.3">
      <c r="A218" s="49" t="s">
        <v>577</v>
      </c>
      <c r="B218" s="50" t="str">
        <f>VLOOKUP($A218,'Список товаров'!A:E,5,0)</f>
        <v>Сборная модель 1:32 Suzuki jimny черная</v>
      </c>
      <c r="C218" s="51">
        <v>45917</v>
      </c>
      <c r="D218" s="50">
        <v>15</v>
      </c>
      <c r="E218" s="50"/>
      <c r="F218" s="50"/>
      <c r="G218" s="46" t="b">
        <f>Таблица8[[#This Row],[Количество]]=Таблица8[[#This Row],[Принято]]+Таблица8[[#This Row],[Брак]]</f>
        <v>0</v>
      </c>
      <c r="H218" s="11">
        <v>29</v>
      </c>
      <c r="I218" s="11">
        <f>Таблица8[[#This Row],[Количество]]*Таблица8[[#This Row],[Цена покупки CNY за единицу]]</f>
        <v>435</v>
      </c>
      <c r="J218" s="57">
        <f>SUMIFS(Курсы_валют!E:E,Курсы_валют!B:B,"CNY")+0.3</f>
        <v>11.6561</v>
      </c>
      <c r="L218" s="57">
        <f>SUMIFS(Курсы_валют!E:E,Курсы_валют!B:B,"USD")</f>
        <v>81.225700000000003</v>
      </c>
      <c r="M218" s="3">
        <f>L218*K218+(Таблица8[[#This Row],[Цена покупки CNY]]*Таблица8[[#This Row],[Курс CNY]])</f>
        <v>5070.4035000000003</v>
      </c>
      <c r="N218" s="3">
        <f t="shared" si="9"/>
        <v>338.02690000000001</v>
      </c>
      <c r="O218" t="s">
        <v>668</v>
      </c>
      <c r="P218" s="15">
        <f>VLOOKUP($A218,'Список товаров'!A:K,11,0)*D218/1000</f>
        <v>3.3</v>
      </c>
      <c r="Q218" s="4">
        <f>IFERROR((P218/SUMIFS(P:P,O:O,O218)*SUMIFS('BUYER доставка'!L:L,'BUYER доставка'!A:A,O218))/D218,"")</f>
        <v>72.868837969342323</v>
      </c>
      <c r="R218" s="5">
        <f t="shared" si="10"/>
        <v>410.89573796934235</v>
      </c>
    </row>
    <row r="219" spans="1:18" x14ac:dyDescent="0.3">
      <c r="A219" s="55" t="s">
        <v>179</v>
      </c>
      <c r="B219" s="50" t="str">
        <f>VLOOKUP($A219,'Список товаров'!A:E,5,0)</f>
        <v>Фотопринтер карманный цветной Hanyin MT53</v>
      </c>
      <c r="C219" s="51">
        <v>45931</v>
      </c>
      <c r="D219" s="50">
        <v>30</v>
      </c>
      <c r="E219" s="50"/>
      <c r="F219" s="50"/>
      <c r="G219" s="46" t="b">
        <f>Таблица8[[#This Row],[Количество]]=Таблица8[[#This Row],[Принято]]+Таблица8[[#This Row],[Брак]]</f>
        <v>0</v>
      </c>
      <c r="H219" s="11">
        <v>337</v>
      </c>
      <c r="I219" s="11">
        <f>Таблица8[[#This Row],[Количество]]*Таблица8[[#This Row],[Цена покупки CNY за единицу]]</f>
        <v>10110</v>
      </c>
      <c r="J219" s="57">
        <f>SUMIFS(Курсы_валют!E:E,Курсы_валют!B:B,"CNY")+0.3</f>
        <v>11.6561</v>
      </c>
      <c r="L219" s="57">
        <f>SUMIFS(Курсы_валют!E:E,Курсы_валют!B:B,"USD")</f>
        <v>81.225700000000003</v>
      </c>
      <c r="M219" s="56"/>
      <c r="N219" s="56"/>
      <c r="P219" s="46"/>
    </row>
    <row r="220" spans="1:18" x14ac:dyDescent="0.3">
      <c r="A220" s="55" t="s">
        <v>135</v>
      </c>
      <c r="B220" s="50" t="str">
        <f>VLOOKUP($A220,'Список товаров'!A:E,5,0)</f>
        <v>Металлическая модель автобуса, свет, звук, инерционный бежевый</v>
      </c>
      <c r="C220" s="51">
        <v>45931</v>
      </c>
      <c r="D220" s="50">
        <v>40</v>
      </c>
      <c r="E220" s="50"/>
      <c r="F220" s="50"/>
      <c r="G220" s="46" t="b">
        <f>Таблица8[[#This Row],[Количество]]=Таблица8[[#This Row],[Принято]]+Таблица8[[#This Row],[Брак]]</f>
        <v>0</v>
      </c>
      <c r="H220" s="11">
        <v>49.788237655560017</v>
      </c>
      <c r="I220" s="11">
        <f>Таблица8[[#This Row],[Количество]]*Таблица8[[#This Row],[Цена покупки CNY за единицу]]</f>
        <v>1991.5295062224006</v>
      </c>
      <c r="J220" s="57">
        <f>SUMIFS(Курсы_валют!E:E,Курсы_валют!B:B,"CNY")+0.3</f>
        <v>11.6561</v>
      </c>
      <c r="L220" s="57">
        <f>SUMIFS(Курсы_валют!E:E,Курсы_валют!B:B,"USD")</f>
        <v>81.225700000000003</v>
      </c>
      <c r="M220" s="56"/>
      <c r="N220" s="56"/>
      <c r="P220" s="46"/>
    </row>
    <row r="221" spans="1:18" x14ac:dyDescent="0.3">
      <c r="A221" s="55" t="s">
        <v>137</v>
      </c>
      <c r="B221" s="50" t="str">
        <f>VLOOKUP($A221,'Список товаров'!A:E,5,0)</f>
        <v>Металлическая модель автобуса, свет, звук, инерционный синий</v>
      </c>
      <c r="C221" s="51">
        <v>45931</v>
      </c>
      <c r="D221" s="50">
        <v>40</v>
      </c>
      <c r="E221" s="50"/>
      <c r="F221" s="50"/>
      <c r="G221" s="46" t="b">
        <f>Таблица8[[#This Row],[Количество]]=Таблица8[[#This Row],[Принято]]+Таблица8[[#This Row],[Брак]]</f>
        <v>0</v>
      </c>
      <c r="H221" s="11">
        <v>49.788237655560017</v>
      </c>
      <c r="I221" s="11">
        <f>Таблица8[[#This Row],[Количество]]*Таблица8[[#This Row],[Цена покупки CNY за единицу]]</f>
        <v>1991.5295062224006</v>
      </c>
      <c r="J221" s="57">
        <f>SUMIFS(Курсы_валют!E:E,Курсы_валют!B:B,"CNY")+0.3</f>
        <v>11.6561</v>
      </c>
      <c r="L221" s="57">
        <f>SUMIFS(Курсы_валют!E:E,Курсы_валют!B:B,"USD")</f>
        <v>81.225700000000003</v>
      </c>
      <c r="M221" s="56"/>
      <c r="N221" s="56"/>
      <c r="P221" s="46"/>
    </row>
    <row r="222" spans="1:18" x14ac:dyDescent="0.3">
      <c r="A222" s="55" t="s">
        <v>136</v>
      </c>
      <c r="B222" s="50" t="str">
        <f>VLOOKUP($A222,'Список товаров'!A:E,5,0)</f>
        <v>Металлическая модель автобуса, свет, звук, инерционный красный</v>
      </c>
      <c r="C222" s="51">
        <v>45931</v>
      </c>
      <c r="D222" s="50">
        <v>40</v>
      </c>
      <c r="E222" s="50"/>
      <c r="F222" s="50"/>
      <c r="G222" s="46" t="b">
        <f>Таблица8[[#This Row],[Количество]]=Таблица8[[#This Row],[Принято]]+Таблица8[[#This Row],[Брак]]</f>
        <v>0</v>
      </c>
      <c r="H222" s="11">
        <v>49.788237655560017</v>
      </c>
      <c r="I222" s="11">
        <f>Таблица8[[#This Row],[Количество]]*Таблица8[[#This Row],[Цена покупки CNY за единицу]]</f>
        <v>1991.5295062224006</v>
      </c>
      <c r="J222" s="57">
        <f>SUMIFS(Курсы_валют!E:E,Курсы_валют!B:B,"CNY")+0.3</f>
        <v>11.6561</v>
      </c>
      <c r="L222" s="57">
        <f>SUMIFS(Курсы_валют!E:E,Курсы_валют!B:B,"USD")</f>
        <v>81.225700000000003</v>
      </c>
      <c r="M222" s="56"/>
      <c r="N222" s="56"/>
      <c r="P222" s="46"/>
    </row>
    <row r="223" spans="1:18" x14ac:dyDescent="0.3">
      <c r="A223" s="55" t="s">
        <v>164</v>
      </c>
      <c r="B223" s="50" t="str">
        <f>VLOOKUP($A223,'Список товаров'!A:E,5,0)</f>
        <v>Сборная модель Ford 2018 Mustang GT 1:42 Желтая</v>
      </c>
      <c r="C223" s="51">
        <v>45931</v>
      </c>
      <c r="D223" s="50">
        <v>20</v>
      </c>
      <c r="E223" s="50"/>
      <c r="F223" s="50"/>
      <c r="G223" s="46" t="b">
        <f>Таблица8[[#This Row],[Количество]]=Таблица8[[#This Row],[Принято]]+Таблица8[[#This Row],[Брак]]</f>
        <v>0</v>
      </c>
      <c r="H223" s="11">
        <v>27.252509032517061</v>
      </c>
      <c r="I223" s="11">
        <f>Таблица8[[#This Row],[Количество]]*Таблица8[[#This Row],[Цена покупки CNY за единицу]]</f>
        <v>545.05018065034119</v>
      </c>
      <c r="J223" s="57">
        <f>SUMIFS(Курсы_валют!E:E,Курсы_валют!B:B,"CNY")+0.3</f>
        <v>11.6561</v>
      </c>
      <c r="L223" s="57">
        <f>SUMIFS(Курсы_валют!E:E,Курсы_валют!B:B,"USD")</f>
        <v>81.225700000000003</v>
      </c>
      <c r="M223" s="56"/>
      <c r="N223" s="56"/>
      <c r="P223" s="46"/>
    </row>
    <row r="224" spans="1:18" x14ac:dyDescent="0.3">
      <c r="A224" s="55" t="s">
        <v>165</v>
      </c>
      <c r="B224" s="50" t="str">
        <f>VLOOKUP($A224,'Список товаров'!A:E,5,0)</f>
        <v>Сборная модель Ford 2018 Mustang GT 1:42 Синяя</v>
      </c>
      <c r="C224" s="51">
        <v>45931</v>
      </c>
      <c r="D224" s="50">
        <v>25</v>
      </c>
      <c r="E224" s="50"/>
      <c r="F224" s="50"/>
      <c r="G224" s="46" t="b">
        <f>Таблица8[[#This Row],[Количество]]=Таблица8[[#This Row],[Принято]]+Таблица8[[#This Row],[Брак]]</f>
        <v>0</v>
      </c>
      <c r="H224" s="11">
        <v>27.252509032517061</v>
      </c>
      <c r="I224" s="11">
        <f>Таблица8[[#This Row],[Количество]]*Таблица8[[#This Row],[Цена покупки CNY за единицу]]</f>
        <v>681.31272581292649</v>
      </c>
      <c r="J224" s="57">
        <f>SUMIFS(Курсы_валют!E:E,Курсы_валют!B:B,"CNY")+0.3</f>
        <v>11.6561</v>
      </c>
      <c r="L224" s="57">
        <f>SUMIFS(Курсы_валют!E:E,Курсы_валют!B:B,"USD")</f>
        <v>81.225700000000003</v>
      </c>
      <c r="M224" s="56"/>
      <c r="N224" s="56"/>
      <c r="P224" s="46"/>
    </row>
    <row r="225" spans="1:16" x14ac:dyDescent="0.3">
      <c r="A225" s="55" t="s">
        <v>167</v>
      </c>
      <c r="B225" s="50" t="str">
        <f>VLOOKUP($A225,'Список товаров'!A:E,5,0)</f>
        <v>Сборная модель Ford 2018 Mustang GT 1:42 Красная</v>
      </c>
      <c r="C225" s="51">
        <v>45931</v>
      </c>
      <c r="D225" s="50">
        <v>25</v>
      </c>
      <c r="E225" s="50"/>
      <c r="F225" s="50"/>
      <c r="G225" s="46" t="b">
        <f>Таблица8[[#This Row],[Количество]]=Таблица8[[#This Row],[Принято]]+Таблица8[[#This Row],[Брак]]</f>
        <v>0</v>
      </c>
      <c r="H225" s="11">
        <v>27.252509032517061</v>
      </c>
      <c r="I225" s="11">
        <f>Таблица8[[#This Row],[Количество]]*Таблица8[[#This Row],[Цена покупки CNY за единицу]]</f>
        <v>681.31272581292649</v>
      </c>
      <c r="J225" s="57">
        <f>SUMIFS(Курсы_валют!E:E,Курсы_валют!B:B,"CNY")+0.3</f>
        <v>11.6561</v>
      </c>
      <c r="L225" s="57">
        <f>SUMIFS(Курсы_валют!E:E,Курсы_валют!B:B,"USD")</f>
        <v>81.225700000000003</v>
      </c>
      <c r="M225" s="56"/>
      <c r="N225" s="56"/>
      <c r="P225" s="46"/>
    </row>
    <row r="226" spans="1:16" x14ac:dyDescent="0.3">
      <c r="A226" s="55" t="s">
        <v>172</v>
      </c>
      <c r="B226" s="50" t="str">
        <f>VLOOKUP($A226,'Список товаров'!A:E,5,0)</f>
        <v>Сборная модель Land Rover Defender 110 1:42 Серая</v>
      </c>
      <c r="C226" s="51">
        <v>45931</v>
      </c>
      <c r="D226" s="50">
        <v>25</v>
      </c>
      <c r="E226" s="50"/>
      <c r="F226" s="50"/>
      <c r="G226" s="46" t="b">
        <f>Таблица8[[#This Row],[Количество]]=Таблица8[[#This Row],[Принято]]+Таблица8[[#This Row],[Брак]]</f>
        <v>0</v>
      </c>
      <c r="H226" s="11">
        <v>30.3970293054998</v>
      </c>
      <c r="I226" s="11">
        <f>Таблица8[[#This Row],[Количество]]*Таблица8[[#This Row],[Цена покупки CNY за единицу]]</f>
        <v>759.925732637495</v>
      </c>
      <c r="J226" s="57">
        <f>SUMIFS(Курсы_валют!E:E,Курсы_валют!B:B,"CNY")+0.3</f>
        <v>11.6561</v>
      </c>
      <c r="L226" s="57">
        <f>SUMIFS(Курсы_валют!E:E,Курсы_валют!B:B,"USD")</f>
        <v>81.225700000000003</v>
      </c>
      <c r="M226" s="56"/>
      <c r="N226" s="56"/>
      <c r="P226" s="46"/>
    </row>
    <row r="227" spans="1:16" x14ac:dyDescent="0.3">
      <c r="A227" s="55" t="s">
        <v>168</v>
      </c>
      <c r="B227" s="50" t="str">
        <f>VLOOKUP($A227,'Список товаров'!A:E,5,0)</f>
        <v>Сборная модель Land Rover Defender 110 1:42 Зеленая</v>
      </c>
      <c r="C227" s="51">
        <v>45931</v>
      </c>
      <c r="D227" s="50">
        <v>25</v>
      </c>
      <c r="E227" s="50"/>
      <c r="F227" s="50"/>
      <c r="G227" s="46" t="b">
        <f>Таблица8[[#This Row],[Количество]]=Таблица8[[#This Row],[Принято]]+Таблица8[[#This Row],[Брак]]</f>
        <v>0</v>
      </c>
      <c r="H227" s="11">
        <v>30.3970293054998</v>
      </c>
      <c r="I227" s="11">
        <f>Таблица8[[#This Row],[Количество]]*Таблица8[[#This Row],[Цена покупки CNY за единицу]]</f>
        <v>759.925732637495</v>
      </c>
      <c r="J227" s="57">
        <f>SUMIFS(Курсы_валют!E:E,Курсы_валют!B:B,"CNY")+0.3</f>
        <v>11.6561</v>
      </c>
      <c r="L227" s="57">
        <f>SUMIFS(Курсы_валют!E:E,Курсы_валют!B:B,"USD")</f>
        <v>81.225700000000003</v>
      </c>
      <c r="M227" s="56"/>
      <c r="N227" s="56"/>
      <c r="P227" s="46"/>
    </row>
    <row r="228" spans="1:16" x14ac:dyDescent="0.3">
      <c r="A228" s="55" t="s">
        <v>166</v>
      </c>
      <c r="B228" s="50" t="str">
        <f>VLOOKUP($A228,'Список товаров'!A:E,5,0)</f>
        <v>Сборная модель Land Rover Defender 110 1:42 Красная</v>
      </c>
      <c r="C228" s="51">
        <v>45931</v>
      </c>
      <c r="D228" s="50">
        <v>25</v>
      </c>
      <c r="E228" s="50"/>
      <c r="F228" s="50"/>
      <c r="G228" s="46" t="b">
        <f>Таблица8[[#This Row],[Количество]]=Таблица8[[#This Row],[Принято]]+Таблица8[[#This Row],[Брак]]</f>
        <v>0</v>
      </c>
      <c r="H228" s="11">
        <v>30.3970293054998</v>
      </c>
      <c r="I228" s="11">
        <f>Таблица8[[#This Row],[Количество]]*Таблица8[[#This Row],[Цена покупки CNY за единицу]]</f>
        <v>759.925732637495</v>
      </c>
      <c r="J228" s="57">
        <f>SUMIFS(Курсы_валют!E:E,Курсы_валют!B:B,"CNY")+0.3</f>
        <v>11.6561</v>
      </c>
      <c r="L228" s="57">
        <f>SUMIFS(Курсы_валют!E:E,Курсы_валют!B:B,"USD")</f>
        <v>81.225700000000003</v>
      </c>
      <c r="M228" s="56"/>
      <c r="N228" s="56"/>
      <c r="P228" s="46"/>
    </row>
    <row r="229" spans="1:16" x14ac:dyDescent="0.3">
      <c r="A229" s="55" t="s">
        <v>170</v>
      </c>
      <c r="B229" s="50" t="str">
        <f>VLOOKUP($A229,'Список товаров'!A:E,5,0)</f>
        <v>Сборная модель Dodge Challenger Hellcat 1:36 Зеленая</v>
      </c>
      <c r="C229" s="51">
        <v>45931</v>
      </c>
      <c r="D229" s="50">
        <v>20</v>
      </c>
      <c r="E229" s="50"/>
      <c r="F229" s="50"/>
      <c r="G229" s="46" t="b">
        <f>Таблица8[[#This Row],[Количество]]=Таблица8[[#This Row],[Принято]]+Таблица8[[#This Row],[Брак]]</f>
        <v>0</v>
      </c>
      <c r="H229" s="11">
        <v>48.215977519068652</v>
      </c>
      <c r="I229" s="11">
        <f>Таблица8[[#This Row],[Количество]]*Таблица8[[#This Row],[Цена покупки CNY за единицу]]</f>
        <v>964.31955038137301</v>
      </c>
      <c r="J229" s="57">
        <f>SUMIFS(Курсы_валют!E:E,Курсы_валют!B:B,"CNY")+0.3</f>
        <v>11.6561</v>
      </c>
      <c r="L229" s="57">
        <f>SUMIFS(Курсы_валют!E:E,Курсы_валют!B:B,"USD")</f>
        <v>81.225700000000003</v>
      </c>
      <c r="M229" s="56"/>
      <c r="N229" s="56"/>
      <c r="P229" s="46"/>
    </row>
    <row r="230" spans="1:16" x14ac:dyDescent="0.3">
      <c r="A230" s="55" t="s">
        <v>173</v>
      </c>
      <c r="B230" s="50" t="str">
        <f>VLOOKUP($A230,'Список товаров'!A:E,5,0)</f>
        <v>Сборная модель Dodge Challenger Hellcat 1:36 Красная</v>
      </c>
      <c r="C230" s="51">
        <v>45931</v>
      </c>
      <c r="D230" s="50">
        <v>20</v>
      </c>
      <c r="E230" s="50"/>
      <c r="F230" s="50"/>
      <c r="G230" s="46" t="b">
        <f>Таблица8[[#This Row],[Количество]]=Таблица8[[#This Row],[Принято]]+Таблица8[[#This Row],[Брак]]</f>
        <v>0</v>
      </c>
      <c r="H230" s="11">
        <v>48.215977519068652</v>
      </c>
      <c r="I230" s="11">
        <f>Таблица8[[#This Row],[Количество]]*Таблица8[[#This Row],[Цена покупки CNY за единицу]]</f>
        <v>964.31955038137301</v>
      </c>
      <c r="J230" s="57">
        <f>SUMIFS(Курсы_валют!E:E,Курсы_валют!B:B,"CNY")+0.3</f>
        <v>11.6561</v>
      </c>
      <c r="L230" s="57">
        <f>SUMIFS(Курсы_валют!E:E,Курсы_валют!B:B,"USD")</f>
        <v>81.225700000000003</v>
      </c>
      <c r="M230" s="56"/>
      <c r="N230" s="56"/>
      <c r="P230" s="46"/>
    </row>
    <row r="231" spans="1:16" x14ac:dyDescent="0.3">
      <c r="A231" s="55" t="s">
        <v>169</v>
      </c>
      <c r="B231" s="50" t="str">
        <f>VLOOKUP($A231,'Список товаров'!A:E,5,0)</f>
        <v>Сборная модель Dodge Challenger Hellcat 1:36 Черная</v>
      </c>
      <c r="C231" s="51">
        <v>45931</v>
      </c>
      <c r="D231" s="50">
        <v>20</v>
      </c>
      <c r="E231" s="50"/>
      <c r="F231" s="50"/>
      <c r="G231" s="46" t="b">
        <f>Таблица8[[#This Row],[Количество]]=Таблица8[[#This Row],[Принято]]+Таблица8[[#This Row],[Брак]]</f>
        <v>0</v>
      </c>
      <c r="H231" s="11">
        <v>48.215977519068652</v>
      </c>
      <c r="I231" s="11">
        <f>Таблица8[[#This Row],[Количество]]*Таблица8[[#This Row],[Цена покупки CNY за единицу]]</f>
        <v>964.31955038137301</v>
      </c>
      <c r="J231" s="57">
        <f>SUMIFS(Курсы_валют!E:E,Курсы_валют!B:B,"CNY")+0.3</f>
        <v>11.6561</v>
      </c>
      <c r="L231" s="57">
        <f>SUMIFS(Курсы_валют!E:E,Курсы_валют!B:B,"USD")</f>
        <v>81.225700000000003</v>
      </c>
      <c r="M231" s="56"/>
      <c r="N231" s="56"/>
      <c r="P231" s="46"/>
    </row>
    <row r="232" spans="1:16" x14ac:dyDescent="0.3">
      <c r="A232" s="55" t="s">
        <v>178</v>
      </c>
      <c r="B232" s="50" t="str">
        <f>VLOOKUP($A232,'Список товаров'!A:E,5,0)</f>
        <v>Гараж пластиковый 1:24 с LED</v>
      </c>
      <c r="C232" s="51">
        <v>45931</v>
      </c>
      <c r="D232" s="50">
        <v>20</v>
      </c>
      <c r="E232" s="50"/>
      <c r="F232" s="50"/>
      <c r="G232" s="46" t="b">
        <f>Таблица8[[#This Row],[Количество]]=Таблица8[[#This Row],[Принято]]+Таблица8[[#This Row],[Брак]]</f>
        <v>0</v>
      </c>
      <c r="H232" s="11">
        <v>35.950000000000003</v>
      </c>
      <c r="I232" s="11">
        <f>Таблица8[[#This Row],[Количество]]*Таблица8[[#This Row],[Цена покупки CNY за единицу]]</f>
        <v>719</v>
      </c>
      <c r="J232" s="57">
        <f>SUMIFS(Курсы_валют!E:E,Курсы_валют!B:B,"CNY")+0.3</f>
        <v>11.6561</v>
      </c>
      <c r="L232" s="57">
        <f>SUMIFS(Курсы_валют!E:E,Курсы_валют!B:B,"USD")</f>
        <v>81.225700000000003</v>
      </c>
      <c r="M232" s="56"/>
      <c r="N232" s="56"/>
      <c r="P232" s="46"/>
    </row>
    <row r="233" spans="1:16" x14ac:dyDescent="0.3">
      <c r="A233" s="55" t="s">
        <v>132</v>
      </c>
      <c r="B233" s="50" t="str">
        <f>VLOOKUP($A233,'Список товаров'!A:E,5,0)</f>
        <v>Камера мгновенной печати Print Camera Розовая Русифицированная</v>
      </c>
      <c r="C233" s="51">
        <v>45931</v>
      </c>
      <c r="D233" s="50">
        <v>50</v>
      </c>
      <c r="E233" s="50"/>
      <c r="F233" s="50"/>
      <c r="G233" s="46" t="b">
        <f>Таблица8[[#This Row],[Количество]]=Таблица8[[#This Row],[Принято]]+Таблица8[[#This Row],[Брак]]</f>
        <v>0</v>
      </c>
      <c r="H233" s="11">
        <v>115.26</v>
      </c>
      <c r="I233" s="11">
        <f>Таблица8[[#This Row],[Количество]]*Таблица8[[#This Row],[Цена покупки CNY за единицу]]</f>
        <v>5763</v>
      </c>
      <c r="J233" s="57">
        <f>SUMIFS(Курсы_валют!E:E,Курсы_валют!B:B,"CNY")+0.3</f>
        <v>11.6561</v>
      </c>
      <c r="L233" s="57">
        <f>SUMIFS(Курсы_валют!E:E,Курсы_валют!B:B,"USD")</f>
        <v>81.225700000000003</v>
      </c>
      <c r="M233" s="56"/>
      <c r="N233" s="56"/>
      <c r="P233" s="46"/>
    </row>
    <row r="234" spans="1:16" x14ac:dyDescent="0.3">
      <c r="A234" s="55" t="s">
        <v>131</v>
      </c>
      <c r="B234" s="50" t="str">
        <f>VLOOKUP($A234,'Список товаров'!A:E,5,0)</f>
        <v>Камера мгновенной печати Print Camera Оранжевая Русифицированная</v>
      </c>
      <c r="C234" s="51">
        <v>45931</v>
      </c>
      <c r="D234" s="50">
        <v>250</v>
      </c>
      <c r="E234" s="50"/>
      <c r="F234" s="50"/>
      <c r="G234" s="46" t="b">
        <f>Таблица8[[#This Row],[Количество]]=Таблица8[[#This Row],[Принято]]+Таблица8[[#This Row],[Брак]]</f>
        <v>0</v>
      </c>
      <c r="H234" s="11">
        <v>115.26</v>
      </c>
      <c r="I234" s="11">
        <f>Таблица8[[#This Row],[Количество]]*Таблица8[[#This Row],[Цена покупки CNY за единицу]]</f>
        <v>28815</v>
      </c>
      <c r="J234" s="57">
        <f>SUMIFS(Курсы_валют!E:E,Курсы_валют!B:B,"CNY")+0.3</f>
        <v>11.6561</v>
      </c>
      <c r="L234" s="57">
        <f>SUMIFS(Курсы_валют!E:E,Курсы_валют!B:B,"USD")</f>
        <v>81.225700000000003</v>
      </c>
      <c r="M234" s="56"/>
      <c r="N234" s="56"/>
      <c r="P234" s="46"/>
    </row>
  </sheetData>
  <phoneticPr fontId="25" type="noConversion"/>
  <conditionalFormatting sqref="F1:F1048576">
    <cfRule type="cellIs" dxfId="19" priority="3" operator="greaterThan">
      <formula>0</formula>
    </cfRule>
  </conditionalFormatting>
  <conditionalFormatting sqref="G1:G1048576">
    <cfRule type="containsText" dxfId="18" priority="1" operator="containsText" text="ЛОЖЬ">
      <formula>NOT(ISERROR(SEARCH("ЛОЖЬ",G1)))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FAAC375-0FFF-4F68-9913-1A707002903E}">
          <x14:formula1>
            <xm:f>'Список товаров'!$A:$A</xm:f>
          </x14:formula1>
          <xm:sqref>A2:A130 A151:A173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T35"/>
  <sheetViews>
    <sheetView workbookViewId="0">
      <selection activeCell="B18" sqref="B18"/>
    </sheetView>
  </sheetViews>
  <sheetFormatPr defaultRowHeight="14.4" x14ac:dyDescent="0.3"/>
  <cols>
    <col min="1" max="1" width="23.6640625" bestFit="1" customWidth="1"/>
    <col min="2" max="2" width="15.44140625" bestFit="1" customWidth="1"/>
    <col min="3" max="3" width="17.6640625" style="2" bestFit="1" customWidth="1"/>
    <col min="4" max="4" width="17.6640625" style="2" customWidth="1"/>
    <col min="5" max="5" width="20.6640625" style="61" bestFit="1" customWidth="1"/>
    <col min="6" max="7" width="8.88671875" style="2"/>
    <col min="8" max="8" width="12" style="61" bestFit="1" customWidth="1"/>
    <col min="9" max="9" width="12" style="61" customWidth="1"/>
    <col min="10" max="10" width="9.33203125" style="2" bestFit="1" customWidth="1"/>
    <col min="11" max="11" width="18.44140625" bestFit="1" customWidth="1"/>
    <col min="12" max="12" width="11.21875" bestFit="1" customWidth="1"/>
    <col min="14" max="14" width="25.6640625" bestFit="1" customWidth="1"/>
    <col min="15" max="15" width="11.33203125" style="3" bestFit="1" customWidth="1"/>
    <col min="16" max="16" width="12.6640625" bestFit="1" customWidth="1"/>
    <col min="19" max="20" width="11.6640625" bestFit="1" customWidth="1"/>
  </cols>
  <sheetData>
    <row r="1" spans="1:20" x14ac:dyDescent="0.3">
      <c r="A1" t="s">
        <v>8</v>
      </c>
      <c r="B1" t="s">
        <v>27</v>
      </c>
      <c r="C1" s="2" t="s">
        <v>28</v>
      </c>
      <c r="D1" s="2" t="s">
        <v>5</v>
      </c>
      <c r="E1" s="61" t="s">
        <v>29</v>
      </c>
      <c r="F1" s="2" t="s">
        <v>30</v>
      </c>
      <c r="G1" s="2" t="s">
        <v>31</v>
      </c>
      <c r="H1" s="61" t="s">
        <v>32</v>
      </c>
      <c r="I1" s="63" t="s">
        <v>669</v>
      </c>
      <c r="J1" s="2" t="s">
        <v>33</v>
      </c>
      <c r="K1" t="s">
        <v>34</v>
      </c>
      <c r="L1" t="s">
        <v>35</v>
      </c>
      <c r="T1" s="5"/>
    </row>
    <row r="2" spans="1:20" x14ac:dyDescent="0.3">
      <c r="A2" t="s">
        <v>13</v>
      </c>
      <c r="B2" s="1">
        <v>45379</v>
      </c>
      <c r="E2" s="62">
        <v>4344</v>
      </c>
      <c r="F2" s="2">
        <v>15.7</v>
      </c>
      <c r="H2" s="61">
        <f t="shared" ref="H2:H34" si="0">E2/F2</f>
        <v>276.68789808917199</v>
      </c>
      <c r="I2" s="64">
        <f>C2/F2</f>
        <v>0</v>
      </c>
      <c r="L2" s="3">
        <f t="shared" ref="L2:L35" si="1">+E2+J2+K2</f>
        <v>4344</v>
      </c>
      <c r="T2" s="5"/>
    </row>
    <row r="3" spans="1:20" x14ac:dyDescent="0.3">
      <c r="A3" t="s">
        <v>12</v>
      </c>
      <c r="B3" s="1">
        <v>45395</v>
      </c>
      <c r="E3" s="62">
        <v>28391</v>
      </c>
      <c r="F3" s="2">
        <v>81.5</v>
      </c>
      <c r="H3" s="61">
        <f t="shared" si="0"/>
        <v>348.35582822085888</v>
      </c>
      <c r="I3" s="64">
        <f t="shared" ref="I3:I35" si="2">C3/F3</f>
        <v>0</v>
      </c>
      <c r="L3" s="3">
        <f t="shared" si="1"/>
        <v>28391</v>
      </c>
      <c r="Q3" s="5"/>
    </row>
    <row r="4" spans="1:20" x14ac:dyDescent="0.3">
      <c r="A4" t="s">
        <v>16</v>
      </c>
      <c r="B4" s="1">
        <v>45484</v>
      </c>
      <c r="C4" s="2">
        <v>100.1</v>
      </c>
      <c r="D4" s="2">
        <v>89</v>
      </c>
      <c r="E4" s="61">
        <f t="shared" ref="E4:E32" si="3">D4*C4</f>
        <v>8908.9</v>
      </c>
      <c r="F4" s="2">
        <v>29</v>
      </c>
      <c r="H4" s="61">
        <f t="shared" si="0"/>
        <v>307.20344827586206</v>
      </c>
      <c r="I4" s="64">
        <f t="shared" si="2"/>
        <v>3.4517241379310342</v>
      </c>
      <c r="L4" s="3">
        <f t="shared" si="1"/>
        <v>8908.9</v>
      </c>
      <c r="Q4" s="5"/>
    </row>
    <row r="5" spans="1:20" x14ac:dyDescent="0.3">
      <c r="A5" t="s">
        <v>15</v>
      </c>
      <c r="B5" s="1">
        <v>45487</v>
      </c>
      <c r="C5" s="2">
        <v>156.52000000000001</v>
      </c>
      <c r="D5" s="2">
        <v>90</v>
      </c>
      <c r="E5" s="61">
        <f t="shared" si="3"/>
        <v>14086.800000000001</v>
      </c>
      <c r="F5" s="2">
        <v>51.6</v>
      </c>
      <c r="H5" s="61">
        <f t="shared" si="0"/>
        <v>273</v>
      </c>
      <c r="I5" s="64">
        <f t="shared" si="2"/>
        <v>3.0333333333333337</v>
      </c>
      <c r="L5" s="3">
        <f t="shared" si="1"/>
        <v>14086.800000000001</v>
      </c>
      <c r="Q5" s="5"/>
    </row>
    <row r="6" spans="1:20" x14ac:dyDescent="0.3">
      <c r="A6" t="s">
        <v>14</v>
      </c>
      <c r="B6" s="1">
        <v>45439</v>
      </c>
      <c r="C6" s="2">
        <v>88.2</v>
      </c>
      <c r="D6" s="2">
        <v>90</v>
      </c>
      <c r="E6" s="61">
        <f t="shared" si="3"/>
        <v>7938</v>
      </c>
      <c r="F6" s="2">
        <v>24</v>
      </c>
      <c r="H6" s="61">
        <f t="shared" si="0"/>
        <v>330.75</v>
      </c>
      <c r="I6" s="64">
        <f t="shared" si="2"/>
        <v>3.6750000000000003</v>
      </c>
      <c r="L6" s="3">
        <f t="shared" si="1"/>
        <v>7938</v>
      </c>
      <c r="Q6" s="5"/>
    </row>
    <row r="7" spans="1:20" x14ac:dyDescent="0.3">
      <c r="A7" t="s">
        <v>18</v>
      </c>
      <c r="B7" s="1">
        <v>45557</v>
      </c>
      <c r="C7" s="2">
        <v>258.92</v>
      </c>
      <c r="D7" s="2">
        <v>91.602612741667201</v>
      </c>
      <c r="E7" s="61">
        <f t="shared" si="3"/>
        <v>23717.748491072474</v>
      </c>
      <c r="F7" s="2">
        <v>105.2</v>
      </c>
      <c r="H7" s="61">
        <f t="shared" si="0"/>
        <v>225.45388299498549</v>
      </c>
      <c r="I7" s="64">
        <f t="shared" si="2"/>
        <v>2.4612167300380228</v>
      </c>
      <c r="J7" s="3">
        <v>1655.4987212276217</v>
      </c>
      <c r="L7" s="3">
        <f t="shared" si="1"/>
        <v>25373.247212300095</v>
      </c>
      <c r="Q7" s="5"/>
    </row>
    <row r="8" spans="1:20" x14ac:dyDescent="0.3">
      <c r="A8" t="s">
        <v>17</v>
      </c>
      <c r="B8" s="1">
        <v>45556</v>
      </c>
      <c r="C8" s="2">
        <v>396.2</v>
      </c>
      <c r="D8" s="2">
        <v>91.602612741667201</v>
      </c>
      <c r="E8" s="61">
        <f t="shared" si="3"/>
        <v>36292.955168248547</v>
      </c>
      <c r="F8" s="2">
        <v>166.6</v>
      </c>
      <c r="H8" s="61">
        <f t="shared" si="0"/>
        <v>217.84486895707411</v>
      </c>
      <c r="I8" s="64">
        <f t="shared" si="2"/>
        <v>2.3781512605042017</v>
      </c>
      <c r="J8" s="3">
        <v>2533.2480818414319</v>
      </c>
      <c r="L8" s="3">
        <f t="shared" si="1"/>
        <v>38826.20325008998</v>
      </c>
      <c r="Q8" s="5"/>
    </row>
    <row r="9" spans="1:20" x14ac:dyDescent="0.3">
      <c r="A9" t="s">
        <v>20</v>
      </c>
      <c r="B9" s="1">
        <v>45557</v>
      </c>
      <c r="C9" s="2">
        <v>56.5</v>
      </c>
      <c r="D9" s="2">
        <v>91.602612741667201</v>
      </c>
      <c r="E9" s="61">
        <f t="shared" si="3"/>
        <v>5175.5476199041968</v>
      </c>
      <c r="F9" s="2">
        <v>15</v>
      </c>
      <c r="H9" s="61">
        <f t="shared" si="0"/>
        <v>345.0365079936131</v>
      </c>
      <c r="I9" s="64">
        <f t="shared" si="2"/>
        <v>3.7666666666666666</v>
      </c>
      <c r="J9" s="3">
        <v>361.25319693094627</v>
      </c>
      <c r="L9" s="3">
        <f t="shared" si="1"/>
        <v>5536.8008168351435</v>
      </c>
      <c r="Q9" s="5"/>
    </row>
    <row r="10" spans="1:20" x14ac:dyDescent="0.3">
      <c r="A10" t="s">
        <v>19</v>
      </c>
      <c r="B10" s="1">
        <v>45563</v>
      </c>
      <c r="C10" s="2">
        <v>123.12</v>
      </c>
      <c r="D10" s="2">
        <v>91.602612741667201</v>
      </c>
      <c r="E10" s="61">
        <f t="shared" si="3"/>
        <v>11278.113680754066</v>
      </c>
      <c r="F10" s="2">
        <v>41.2</v>
      </c>
      <c r="H10" s="61">
        <f t="shared" si="0"/>
        <v>273.74062331927342</v>
      </c>
      <c r="I10" s="64">
        <f t="shared" si="2"/>
        <v>2.9883495145631067</v>
      </c>
      <c r="L10" s="3">
        <f t="shared" si="1"/>
        <v>11278.113680754066</v>
      </c>
      <c r="Q10" s="5"/>
    </row>
    <row r="11" spans="1:20" ht="14.4" customHeight="1" x14ac:dyDescent="0.3">
      <c r="A11" t="s">
        <v>21</v>
      </c>
      <c r="B11" s="1">
        <v>45632</v>
      </c>
      <c r="C11" s="2">
        <v>140.80000000000001</v>
      </c>
      <c r="D11" s="2">
        <v>98.435057843812586</v>
      </c>
      <c r="E11" s="61">
        <f t="shared" si="3"/>
        <v>13859.656144408813</v>
      </c>
      <c r="F11" s="2">
        <v>70.400000000000006</v>
      </c>
      <c r="H11" s="61">
        <f t="shared" si="0"/>
        <v>196.87011568762517</v>
      </c>
      <c r="I11" s="64">
        <f t="shared" si="2"/>
        <v>2</v>
      </c>
      <c r="J11" s="2">
        <v>1000</v>
      </c>
      <c r="L11" s="3">
        <f t="shared" si="1"/>
        <v>14859.656144408813</v>
      </c>
      <c r="Q11" s="5"/>
    </row>
    <row r="12" spans="1:20" x14ac:dyDescent="0.3">
      <c r="A12" t="s">
        <v>22</v>
      </c>
      <c r="B12" s="1">
        <v>45666</v>
      </c>
      <c r="C12" s="2">
        <v>166.8</v>
      </c>
      <c r="D12" s="2">
        <v>104.38340416864438</v>
      </c>
      <c r="E12" s="61">
        <f t="shared" si="3"/>
        <v>17411.151815329882</v>
      </c>
      <c r="F12" s="2">
        <v>55.6</v>
      </c>
      <c r="H12" s="61">
        <f t="shared" si="0"/>
        <v>313.1502125059331</v>
      </c>
      <c r="I12" s="64">
        <f t="shared" si="2"/>
        <v>3</v>
      </c>
      <c r="L12" s="3">
        <f t="shared" si="1"/>
        <v>17411.151815329882</v>
      </c>
      <c r="Q12" s="5"/>
    </row>
    <row r="13" spans="1:20" x14ac:dyDescent="0.3">
      <c r="A13" t="s">
        <v>23</v>
      </c>
      <c r="B13" s="1">
        <v>45679</v>
      </c>
      <c r="C13" s="2">
        <v>282.39999999999998</v>
      </c>
      <c r="D13" s="2">
        <v>104.29999405529477</v>
      </c>
      <c r="E13" s="61">
        <f t="shared" si="3"/>
        <v>29454.318321215243</v>
      </c>
      <c r="F13" s="2">
        <v>141.19999999999999</v>
      </c>
      <c r="H13" s="61">
        <f t="shared" si="0"/>
        <v>208.59998811058955</v>
      </c>
      <c r="I13" s="64">
        <f t="shared" si="2"/>
        <v>2</v>
      </c>
      <c r="J13" s="2">
        <v>2000</v>
      </c>
      <c r="L13" s="3">
        <f t="shared" si="1"/>
        <v>31454.318321215243</v>
      </c>
      <c r="Q13" s="5"/>
    </row>
    <row r="14" spans="1:20" ht="14.4" customHeight="1" x14ac:dyDescent="0.3">
      <c r="A14" t="s">
        <v>24</v>
      </c>
      <c r="B14" s="1">
        <v>45702</v>
      </c>
      <c r="C14" s="2">
        <v>219</v>
      </c>
      <c r="D14" s="2">
        <v>103.88561470847993</v>
      </c>
      <c r="E14" s="61">
        <f t="shared" si="3"/>
        <v>22750.949621157106</v>
      </c>
      <c r="F14" s="2">
        <v>67.5</v>
      </c>
      <c r="G14" s="2">
        <v>0.26</v>
      </c>
      <c r="H14" s="61">
        <f t="shared" si="0"/>
        <v>337.05110549862377</v>
      </c>
      <c r="I14" s="64">
        <f t="shared" si="2"/>
        <v>3.2444444444444445</v>
      </c>
      <c r="L14" s="3">
        <f t="shared" si="1"/>
        <v>22750.949621157106</v>
      </c>
      <c r="Q14" s="5"/>
      <c r="T14" s="8"/>
    </row>
    <row r="15" spans="1:20" x14ac:dyDescent="0.3">
      <c r="A15" t="s">
        <v>25</v>
      </c>
      <c r="B15" s="1">
        <v>45710</v>
      </c>
      <c r="C15" s="2">
        <v>536.65</v>
      </c>
      <c r="D15" s="2">
        <v>103.88561470847993</v>
      </c>
      <c r="E15" s="61">
        <f t="shared" si="3"/>
        <v>55750.215133305755</v>
      </c>
      <c r="F15" s="2">
        <v>169.5</v>
      </c>
      <c r="G15" s="2">
        <v>1.27</v>
      </c>
      <c r="H15" s="61">
        <f t="shared" si="0"/>
        <v>328.9098237953142</v>
      </c>
      <c r="I15" s="64">
        <f t="shared" si="2"/>
        <v>3.1660766961651916</v>
      </c>
      <c r="L15" s="3">
        <f t="shared" si="1"/>
        <v>55750.215133305755</v>
      </c>
      <c r="Q15" s="5"/>
      <c r="T15" s="8"/>
    </row>
    <row r="16" spans="1:20" x14ac:dyDescent="0.3">
      <c r="A16" t="s">
        <v>26</v>
      </c>
      <c r="B16" s="1">
        <v>45732</v>
      </c>
      <c r="C16" s="2">
        <v>178.56</v>
      </c>
      <c r="D16" s="2">
        <v>103.88561470847993</v>
      </c>
      <c r="E16" s="61">
        <f t="shared" si="3"/>
        <v>18549.815362346177</v>
      </c>
      <c r="F16" s="2">
        <v>64.400000000000006</v>
      </c>
      <c r="G16" s="2">
        <v>0.7</v>
      </c>
      <c r="H16" s="61">
        <f t="shared" si="0"/>
        <v>288.04061121655553</v>
      </c>
      <c r="I16" s="64">
        <f t="shared" si="2"/>
        <v>2.7726708074534159</v>
      </c>
      <c r="L16" s="3">
        <f t="shared" si="1"/>
        <v>18549.815362346177</v>
      </c>
      <c r="Q16" s="3"/>
      <c r="T16" s="5"/>
    </row>
    <row r="17" spans="1:16" ht="14.4" customHeight="1" x14ac:dyDescent="0.3">
      <c r="A17" t="s">
        <v>111</v>
      </c>
      <c r="B17" s="1">
        <v>45740</v>
      </c>
      <c r="C17" s="2">
        <v>78</v>
      </c>
      <c r="D17" s="2">
        <v>103.88561470847993</v>
      </c>
      <c r="E17" s="61">
        <f t="shared" si="3"/>
        <v>8103.0779472614349</v>
      </c>
      <c r="F17" s="2">
        <v>28.4</v>
      </c>
      <c r="G17" s="2">
        <v>0.28899999999999998</v>
      </c>
      <c r="H17" s="61">
        <f t="shared" si="0"/>
        <v>285.31964603033225</v>
      </c>
      <c r="I17" s="64">
        <f t="shared" si="2"/>
        <v>2.746478873239437</v>
      </c>
      <c r="L17" s="3">
        <f t="shared" si="1"/>
        <v>8103.0779472614349</v>
      </c>
    </row>
    <row r="18" spans="1:16" x14ac:dyDescent="0.3">
      <c r="A18" t="s">
        <v>126</v>
      </c>
      <c r="B18" s="1">
        <v>45772</v>
      </c>
      <c r="C18" s="2">
        <v>1034</v>
      </c>
      <c r="D18" s="2">
        <v>82.26</v>
      </c>
      <c r="E18" s="61">
        <f t="shared" si="3"/>
        <v>85056.840000000011</v>
      </c>
      <c r="F18" s="2">
        <v>373.5</v>
      </c>
      <c r="G18" s="2">
        <v>2.1139999999999999</v>
      </c>
      <c r="H18" s="61">
        <f t="shared" si="0"/>
        <v>227.72915662650604</v>
      </c>
      <c r="I18" s="64">
        <f t="shared" si="2"/>
        <v>2.7684069611780453</v>
      </c>
      <c r="L18" s="3">
        <f t="shared" si="1"/>
        <v>85056.840000000011</v>
      </c>
      <c r="P18" s="9"/>
    </row>
    <row r="19" spans="1:16" x14ac:dyDescent="0.3">
      <c r="A19" t="s">
        <v>127</v>
      </c>
      <c r="B19" s="1">
        <v>45772</v>
      </c>
      <c r="C19" s="2">
        <v>95</v>
      </c>
      <c r="D19" s="2">
        <v>82.26</v>
      </c>
      <c r="E19" s="61">
        <f t="shared" si="3"/>
        <v>7814.7000000000007</v>
      </c>
      <c r="F19" s="2">
        <v>33.4</v>
      </c>
      <c r="G19" s="2">
        <v>0.20799999999999999</v>
      </c>
      <c r="H19" s="61">
        <f t="shared" si="0"/>
        <v>233.9730538922156</v>
      </c>
      <c r="I19" s="64">
        <f t="shared" si="2"/>
        <v>2.8443113772455093</v>
      </c>
      <c r="L19" s="3">
        <f t="shared" si="1"/>
        <v>7814.7000000000007</v>
      </c>
      <c r="P19" s="5"/>
    </row>
    <row r="20" spans="1:16" x14ac:dyDescent="0.3">
      <c r="A20" t="s">
        <v>358</v>
      </c>
      <c r="B20" s="1">
        <v>45799</v>
      </c>
      <c r="C20" s="2">
        <v>230</v>
      </c>
      <c r="D20" s="2">
        <v>80.2</v>
      </c>
      <c r="E20" s="61">
        <f t="shared" si="3"/>
        <v>18446</v>
      </c>
      <c r="F20" s="2">
        <v>81.2</v>
      </c>
      <c r="G20" s="2">
        <v>0.47699999999999998</v>
      </c>
      <c r="H20" s="61">
        <f t="shared" si="0"/>
        <v>227.16748768472905</v>
      </c>
      <c r="I20" s="64">
        <f t="shared" si="2"/>
        <v>2.8325123152709359</v>
      </c>
      <c r="L20" s="3">
        <f t="shared" si="1"/>
        <v>18446</v>
      </c>
    </row>
    <row r="21" spans="1:16" x14ac:dyDescent="0.3">
      <c r="A21" t="s">
        <v>357</v>
      </c>
      <c r="B21" s="1">
        <v>45799</v>
      </c>
      <c r="C21" s="2">
        <v>82</v>
      </c>
      <c r="D21" s="2">
        <v>80.2</v>
      </c>
      <c r="E21" s="61">
        <f t="shared" si="3"/>
        <v>6576.4000000000005</v>
      </c>
      <c r="F21" s="2">
        <v>6.3</v>
      </c>
      <c r="G21" s="2">
        <v>2.8000000000000001E-2</v>
      </c>
      <c r="H21" s="61">
        <f t="shared" si="0"/>
        <v>1043.8730158730159</v>
      </c>
      <c r="I21" s="64">
        <f t="shared" si="2"/>
        <v>13.015873015873016</v>
      </c>
      <c r="L21" s="3">
        <f t="shared" si="1"/>
        <v>6576.4000000000005</v>
      </c>
    </row>
    <row r="22" spans="1:16" x14ac:dyDescent="0.3">
      <c r="A22" t="s">
        <v>584</v>
      </c>
      <c r="B22" s="1">
        <v>45867</v>
      </c>
      <c r="C22" s="2">
        <v>541</v>
      </c>
      <c r="D22" s="2">
        <v>81.2</v>
      </c>
      <c r="E22" s="61">
        <f t="shared" si="3"/>
        <v>43929.200000000004</v>
      </c>
      <c r="F22" s="2">
        <v>181.5</v>
      </c>
      <c r="G22" s="2">
        <v>1.409</v>
      </c>
      <c r="H22" s="61">
        <f t="shared" si="0"/>
        <v>242.03415977961436</v>
      </c>
      <c r="I22" s="64">
        <f t="shared" si="2"/>
        <v>2.9807162534435263</v>
      </c>
      <c r="L22" s="3">
        <f t="shared" si="1"/>
        <v>43929.200000000004</v>
      </c>
    </row>
    <row r="23" spans="1:16" x14ac:dyDescent="0.3">
      <c r="A23" t="s">
        <v>668</v>
      </c>
      <c r="C23" s="2">
        <v>1237</v>
      </c>
      <c r="D23" s="2">
        <f>SUMIFS(Курсы_валют!E:E,Курсы_валют!B:B,"USD")</f>
        <v>81.225700000000003</v>
      </c>
      <c r="E23" s="61">
        <f t="shared" si="3"/>
        <v>100476.1909</v>
      </c>
      <c r="F23" s="2">
        <v>400.5</v>
      </c>
      <c r="G23" s="2">
        <v>3.1880000000000002</v>
      </c>
      <c r="H23" s="61">
        <f t="shared" si="0"/>
        <v>250.87688114856431</v>
      </c>
      <c r="I23" s="64">
        <f t="shared" si="2"/>
        <v>3.0886392009987516</v>
      </c>
      <c r="L23" s="3">
        <f t="shared" si="1"/>
        <v>100476.1909</v>
      </c>
      <c r="N23" s="64"/>
    </row>
    <row r="24" spans="1:16" x14ac:dyDescent="0.3">
      <c r="E24" s="61">
        <f t="shared" si="3"/>
        <v>0</v>
      </c>
      <c r="H24" s="61" t="e">
        <f t="shared" si="0"/>
        <v>#DIV/0!</v>
      </c>
      <c r="I24" s="64" t="e">
        <f t="shared" si="2"/>
        <v>#DIV/0!</v>
      </c>
      <c r="L24" s="3">
        <f t="shared" si="1"/>
        <v>0</v>
      </c>
    </row>
    <row r="25" spans="1:16" x14ac:dyDescent="0.3">
      <c r="E25" s="61">
        <f t="shared" si="3"/>
        <v>0</v>
      </c>
      <c r="H25" s="61" t="e">
        <f t="shared" si="0"/>
        <v>#DIV/0!</v>
      </c>
      <c r="I25" s="64" t="e">
        <f t="shared" si="2"/>
        <v>#DIV/0!</v>
      </c>
      <c r="L25" s="3">
        <f t="shared" si="1"/>
        <v>0</v>
      </c>
    </row>
    <row r="26" spans="1:16" x14ac:dyDescent="0.3">
      <c r="E26" s="61">
        <f t="shared" si="3"/>
        <v>0</v>
      </c>
      <c r="H26" s="61" t="e">
        <f t="shared" si="0"/>
        <v>#DIV/0!</v>
      </c>
      <c r="I26" s="64" t="e">
        <f t="shared" si="2"/>
        <v>#DIV/0!</v>
      </c>
      <c r="L26" s="3">
        <f t="shared" si="1"/>
        <v>0</v>
      </c>
    </row>
    <row r="27" spans="1:16" x14ac:dyDescent="0.3">
      <c r="E27" s="61">
        <f t="shared" si="3"/>
        <v>0</v>
      </c>
      <c r="H27" s="61" t="e">
        <f t="shared" si="0"/>
        <v>#DIV/0!</v>
      </c>
      <c r="I27" s="64" t="e">
        <f t="shared" si="2"/>
        <v>#DIV/0!</v>
      </c>
      <c r="L27" s="3">
        <f t="shared" si="1"/>
        <v>0</v>
      </c>
    </row>
    <row r="28" spans="1:16" x14ac:dyDescent="0.3">
      <c r="E28" s="61">
        <f t="shared" si="3"/>
        <v>0</v>
      </c>
      <c r="H28" s="61" t="e">
        <f t="shared" si="0"/>
        <v>#DIV/0!</v>
      </c>
      <c r="I28" s="64" t="e">
        <f t="shared" si="2"/>
        <v>#DIV/0!</v>
      </c>
      <c r="L28" s="3">
        <f t="shared" si="1"/>
        <v>0</v>
      </c>
    </row>
    <row r="29" spans="1:16" x14ac:dyDescent="0.3">
      <c r="E29" s="61">
        <f t="shared" si="3"/>
        <v>0</v>
      </c>
      <c r="H29" s="61" t="e">
        <f t="shared" si="0"/>
        <v>#DIV/0!</v>
      </c>
      <c r="I29" s="64" t="e">
        <f t="shared" si="2"/>
        <v>#DIV/0!</v>
      </c>
      <c r="L29" s="3">
        <f t="shared" si="1"/>
        <v>0</v>
      </c>
    </row>
    <row r="30" spans="1:16" x14ac:dyDescent="0.3">
      <c r="E30" s="61">
        <f t="shared" si="3"/>
        <v>0</v>
      </c>
      <c r="H30" s="61" t="e">
        <f t="shared" si="0"/>
        <v>#DIV/0!</v>
      </c>
      <c r="I30" s="64" t="e">
        <f t="shared" si="2"/>
        <v>#DIV/0!</v>
      </c>
      <c r="L30" s="3">
        <f t="shared" si="1"/>
        <v>0</v>
      </c>
    </row>
    <row r="31" spans="1:16" x14ac:dyDescent="0.3">
      <c r="E31" s="61">
        <f t="shared" si="3"/>
        <v>0</v>
      </c>
      <c r="H31" s="61" t="e">
        <f t="shared" si="0"/>
        <v>#DIV/0!</v>
      </c>
      <c r="I31" s="64" t="e">
        <f t="shared" si="2"/>
        <v>#DIV/0!</v>
      </c>
      <c r="L31" s="3">
        <f t="shared" si="1"/>
        <v>0</v>
      </c>
    </row>
    <row r="32" spans="1:16" x14ac:dyDescent="0.3">
      <c r="E32" s="61">
        <f t="shared" si="3"/>
        <v>0</v>
      </c>
      <c r="H32" s="61" t="e">
        <f t="shared" si="0"/>
        <v>#DIV/0!</v>
      </c>
      <c r="I32" s="64" t="e">
        <f t="shared" si="2"/>
        <v>#DIV/0!</v>
      </c>
      <c r="L32" s="3">
        <f t="shared" si="1"/>
        <v>0</v>
      </c>
    </row>
    <row r="33" spans="8:12" x14ac:dyDescent="0.3">
      <c r="H33" s="61" t="e">
        <f t="shared" si="0"/>
        <v>#DIV/0!</v>
      </c>
      <c r="I33" s="64" t="e">
        <f t="shared" si="2"/>
        <v>#DIV/0!</v>
      </c>
      <c r="L33" s="3">
        <f t="shared" si="1"/>
        <v>0</v>
      </c>
    </row>
    <row r="34" spans="8:12" x14ac:dyDescent="0.3">
      <c r="H34" s="61" t="e">
        <f t="shared" si="0"/>
        <v>#DIV/0!</v>
      </c>
      <c r="I34" s="64" t="e">
        <f t="shared" si="2"/>
        <v>#DIV/0!</v>
      </c>
      <c r="L34" s="3">
        <f t="shared" si="1"/>
        <v>0</v>
      </c>
    </row>
    <row r="35" spans="8:12" x14ac:dyDescent="0.3">
      <c r="I35" s="64" t="e">
        <f t="shared" si="2"/>
        <v>#DIV/0!</v>
      </c>
      <c r="L35" s="3">
        <f t="shared" si="1"/>
        <v>0</v>
      </c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DB6E5-C893-4730-9613-BF778EBE551D}">
  <sheetPr codeName="Лист3"/>
  <dimension ref="A1:AF104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B2" sqref="B2:D70"/>
    </sheetView>
  </sheetViews>
  <sheetFormatPr defaultRowHeight="14.4" x14ac:dyDescent="0.3"/>
  <cols>
    <col min="1" max="6" width="8.88671875" bestFit="1" customWidth="1"/>
    <col min="7" max="7" width="8.6640625" bestFit="1" customWidth="1"/>
    <col min="8" max="8" width="8.33203125" bestFit="1" customWidth="1"/>
    <col min="9" max="9" width="8.109375" bestFit="1" customWidth="1"/>
    <col min="10" max="16" width="8.88671875" bestFit="1" customWidth="1"/>
    <col min="17" max="17" width="8.21875" bestFit="1" customWidth="1"/>
    <col min="18" max="19" width="8.88671875" bestFit="1" customWidth="1"/>
    <col min="20" max="20" width="8.88671875" style="2" bestFit="1" customWidth="1"/>
    <col min="21" max="21" width="8.88671875" style="3" bestFit="1" customWidth="1"/>
    <col min="22" max="22" width="8.88671875" bestFit="1" customWidth="1"/>
    <col min="23" max="23" width="8.88671875" style="3" bestFit="1" customWidth="1"/>
    <col min="24" max="26" width="8.88671875" bestFit="1" customWidth="1"/>
    <col min="27" max="27" width="29.33203125" customWidth="1"/>
    <col min="28" max="28" width="11.33203125" customWidth="1"/>
  </cols>
  <sheetData>
    <row r="1" spans="1:32" x14ac:dyDescent="0.3">
      <c r="A1" t="s">
        <v>0</v>
      </c>
      <c r="B1" t="s">
        <v>130</v>
      </c>
      <c r="C1" t="s">
        <v>195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s="23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  <c r="S1" t="s">
        <v>560</v>
      </c>
      <c r="T1" s="17" t="s">
        <v>109</v>
      </c>
      <c r="U1" s="18" t="s">
        <v>110</v>
      </c>
      <c r="V1" t="s">
        <v>548</v>
      </c>
      <c r="W1" s="3" t="s">
        <v>546</v>
      </c>
      <c r="X1" s="53" t="s">
        <v>636</v>
      </c>
      <c r="Y1" s="53" t="s">
        <v>637</v>
      </c>
      <c r="Z1" s="53" t="s">
        <v>638</v>
      </c>
    </row>
    <row r="2" spans="1:32" x14ac:dyDescent="0.3">
      <c r="A2" t="s">
        <v>131</v>
      </c>
      <c r="E2" t="s">
        <v>52</v>
      </c>
      <c r="F2" t="s">
        <v>131</v>
      </c>
      <c r="G2">
        <v>50</v>
      </c>
      <c r="H2">
        <v>140</v>
      </c>
      <c r="I2">
        <v>120</v>
      </c>
      <c r="J2" t="s">
        <v>196</v>
      </c>
      <c r="K2">
        <v>250</v>
      </c>
      <c r="L2" t="s">
        <v>197</v>
      </c>
      <c r="M2">
        <v>17028649</v>
      </c>
      <c r="N2">
        <v>95272</v>
      </c>
      <c r="O2" t="s">
        <v>198</v>
      </c>
      <c r="P2">
        <v>49816357</v>
      </c>
      <c r="Q2">
        <v>5</v>
      </c>
      <c r="R2" t="s">
        <v>199</v>
      </c>
      <c r="S2" t="s">
        <v>561</v>
      </c>
      <c r="T2" s="1" cm="1">
        <f t="array" ref="T2">MAX(IF(('История закупоку BUYER'!$R:$R&gt;0)*('История закупоку BUYER'!$A:$A=Список_товар_API[[#This Row],[Артикул]]),'История закупоку BUYER'!$C:$C))</f>
        <v>45835</v>
      </c>
      <c r="U2" s="35">
        <f>+IFERROR(AVERAGEIFS('История закупоку BUYER'!R:R,'История закупоку BUYER'!A:A,A2,'История закупоку BUYER'!C:C,T2)+Список_товар_API[[#This Row],[Цена упаковки]]+Список_товар_API[[#This Row],[цена доставки]]+Список_товар_API[[#This Row],[Цена честного знака]],0)</f>
        <v>2099.0222165169853</v>
      </c>
      <c r="V2" s="9">
        <f>VLOOKUP(Список_товар_API[[#This Row],[Артикул]],Стоимости_товаров_OZON[],24,0)</f>
        <v>5160</v>
      </c>
      <c r="W2" s="35">
        <f>VLOOKUP(Список_товар_API[[#This Row],[Артикул]],Стоимости_товаров_OZON[],26,0)</f>
        <v>6844</v>
      </c>
      <c r="X2">
        <v>50</v>
      </c>
      <c r="Y2">
        <v>30</v>
      </c>
      <c r="Z2">
        <v>10</v>
      </c>
      <c r="AB2" s="3"/>
      <c r="AF2" s="3"/>
    </row>
    <row r="3" spans="1:32" x14ac:dyDescent="0.3">
      <c r="A3" t="s">
        <v>132</v>
      </c>
      <c r="E3" t="s">
        <v>50</v>
      </c>
      <c r="F3" t="s">
        <v>132</v>
      </c>
      <c r="G3">
        <v>50</v>
      </c>
      <c r="H3">
        <v>140</v>
      </c>
      <c r="I3">
        <v>120</v>
      </c>
      <c r="J3" t="s">
        <v>196</v>
      </c>
      <c r="K3">
        <v>250</v>
      </c>
      <c r="L3" t="s">
        <v>197</v>
      </c>
      <c r="M3">
        <v>17028649</v>
      </c>
      <c r="N3">
        <v>95272</v>
      </c>
      <c r="O3" t="s">
        <v>200</v>
      </c>
      <c r="P3">
        <v>49816357</v>
      </c>
      <c r="Q3">
        <v>5</v>
      </c>
      <c r="R3" t="s">
        <v>199</v>
      </c>
      <c r="S3" t="s">
        <v>561</v>
      </c>
      <c r="T3" s="1" cm="1">
        <f t="array" ref="T3">MAX(IF(('История закупоку BUYER'!$R:$R&gt;0)*('История закупоку BUYER'!$A:$A=Список_товар_API[[#This Row],[Артикул]]),'История закупоку BUYER'!$C:$C))</f>
        <v>45835</v>
      </c>
      <c r="U3" s="35">
        <f>+IFERROR(AVERAGEIFS('История закупоку BUYER'!R:R,'История закупоку BUYER'!A:A,A3,'История закупоку BUYER'!C:C,T3)+Список_товар_API[[#This Row],[Цена упаковки]]+Список_товар_API[[#This Row],[цена доставки]]+Список_товар_API[[#This Row],[Цена честного знака]],0)</f>
        <v>2099.0222165169853</v>
      </c>
      <c r="V3" s="9">
        <f>VLOOKUP(Список_товар_API[[#This Row],[Артикул]],Стоимости_товаров_OZON[],24,0)</f>
        <v>5144</v>
      </c>
      <c r="W3" s="35">
        <f>VLOOKUP(Список_товар_API[[#This Row],[Артикул]],Стоимости_товаров_OZON[],26,0)</f>
        <v>6816</v>
      </c>
      <c r="X3">
        <v>50</v>
      </c>
      <c r="Y3">
        <v>30</v>
      </c>
      <c r="Z3">
        <v>10</v>
      </c>
      <c r="AB3" s="58"/>
      <c r="AF3" s="3"/>
    </row>
    <row r="4" spans="1:32" x14ac:dyDescent="0.3">
      <c r="A4" t="s">
        <v>134</v>
      </c>
      <c r="E4" t="s">
        <v>56</v>
      </c>
      <c r="F4" t="s">
        <v>134</v>
      </c>
      <c r="G4">
        <v>100</v>
      </c>
      <c r="H4">
        <v>350</v>
      </c>
      <c r="I4">
        <v>80</v>
      </c>
      <c r="J4" t="s">
        <v>196</v>
      </c>
      <c r="K4">
        <v>500</v>
      </c>
      <c r="L4" t="s">
        <v>197</v>
      </c>
      <c r="M4">
        <v>17028973</v>
      </c>
      <c r="N4">
        <v>92843</v>
      </c>
      <c r="O4" t="s">
        <v>202</v>
      </c>
      <c r="P4">
        <v>358633050</v>
      </c>
      <c r="Q4">
        <v>23</v>
      </c>
      <c r="R4" t="s">
        <v>199</v>
      </c>
      <c r="S4" t="s">
        <v>561</v>
      </c>
      <c r="T4" s="1" cm="1">
        <f t="array" ref="T4">MAX(IF(('История закупоку BUYER'!$R:$R&gt;0)*('История закупоку BUYER'!$A:$A=Список_товар_API[[#This Row],[Артикул]]),'История закупоку BUYER'!$C:$C))</f>
        <v>45917</v>
      </c>
      <c r="U4" s="35">
        <f>+IFERROR(AVERAGEIFS('История закупоку BUYER'!R:R,'История закупоку BUYER'!A:A,A4,'История закупоку BUYER'!C:C,T4)+Список_товар_API[[#This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4" s="9">
        <f>VLOOKUP(Список_товар_API[[#This Row],[Артикул]],Стоимости_товаров_OZON[],24,0)</f>
        <v>1563</v>
      </c>
      <c r="W4" s="35">
        <f>VLOOKUP(Список_товар_API[[#This Row],[Артикул]],Стоимости_товаров_OZON[],26,0)</f>
        <v>2087</v>
      </c>
      <c r="X4">
        <v>50</v>
      </c>
      <c r="Y4">
        <v>30</v>
      </c>
      <c r="Z4">
        <v>10</v>
      </c>
      <c r="AB4" s="3"/>
      <c r="AF4" s="3"/>
    </row>
    <row r="5" spans="1:32" x14ac:dyDescent="0.3">
      <c r="A5" t="s">
        <v>135</v>
      </c>
      <c r="E5" t="s">
        <v>58</v>
      </c>
      <c r="F5" t="s">
        <v>135</v>
      </c>
      <c r="G5">
        <v>90</v>
      </c>
      <c r="H5">
        <v>300</v>
      </c>
      <c r="I5">
        <v>80</v>
      </c>
      <c r="J5" t="s">
        <v>196</v>
      </c>
      <c r="K5">
        <v>400</v>
      </c>
      <c r="L5" t="s">
        <v>197</v>
      </c>
      <c r="M5">
        <v>17028973</v>
      </c>
      <c r="N5">
        <v>92843</v>
      </c>
      <c r="O5" t="s">
        <v>392</v>
      </c>
      <c r="P5">
        <v>623372162</v>
      </c>
      <c r="Q5">
        <v>10</v>
      </c>
      <c r="R5" t="s">
        <v>393</v>
      </c>
      <c r="S5" t="s">
        <v>561</v>
      </c>
      <c r="T5" s="1" cm="1">
        <f t="array" ref="T5">MAX(IF(('История закупоку BUYER'!$R:$R&gt;0)*('История закупоку BUYER'!$A:$A=Список_товар_API[[#This Row],[Артикул]]),'История закупоку BUYER'!$C:$C))</f>
        <v>45917</v>
      </c>
      <c r="U5" s="35">
        <f>+IFERROR(AVERAGEIFS('История закупоку BUYER'!R:R,'История закупоку BUYER'!A:A,A5,'История закупоку BUYER'!C:C,T5)+Список_товар_API[[#This Row],[Цена упаковки]]+Список_товар_API[[#This Row],[цена доставки]]+Список_товар_API[[#This Row],[Цена честного знака]],0)</f>
        <v>776.15354630789511</v>
      </c>
      <c r="V5" s="9">
        <f>VLOOKUP(Список_товар_API[[#This Row],[Артикул]],Стоимости_товаров_OZON[],24,0)</f>
        <v>1883</v>
      </c>
      <c r="W5" s="35">
        <f>VLOOKUP(Список_товар_API[[#This Row],[Артикул]],Стоимости_товаров_OZON[],26,0)</f>
        <v>2492</v>
      </c>
      <c r="X5">
        <v>50</v>
      </c>
      <c r="Y5">
        <v>30</v>
      </c>
      <c r="Z5">
        <v>10</v>
      </c>
      <c r="AB5" s="60"/>
      <c r="AC5" s="59"/>
      <c r="AF5" s="3"/>
    </row>
    <row r="6" spans="1:32" x14ac:dyDescent="0.3">
      <c r="A6" t="s">
        <v>136</v>
      </c>
      <c r="E6" t="s">
        <v>60</v>
      </c>
      <c r="F6" t="s">
        <v>136</v>
      </c>
      <c r="G6">
        <v>90</v>
      </c>
      <c r="H6">
        <v>300</v>
      </c>
      <c r="I6">
        <v>80</v>
      </c>
      <c r="J6" t="s">
        <v>196</v>
      </c>
      <c r="K6">
        <v>400</v>
      </c>
      <c r="L6" t="s">
        <v>197</v>
      </c>
      <c r="M6">
        <v>17028973</v>
      </c>
      <c r="N6">
        <v>92843</v>
      </c>
      <c r="O6" t="s">
        <v>394</v>
      </c>
      <c r="P6">
        <v>623372162</v>
      </c>
      <c r="Q6">
        <v>10</v>
      </c>
      <c r="R6" t="s">
        <v>395</v>
      </c>
      <c r="S6" t="s">
        <v>561</v>
      </c>
      <c r="T6" s="1" cm="1">
        <f t="array" ref="T6">MAX(IF(('История закупоку BUYER'!$R:$R&gt;0)*('История закупоку BUYER'!$A:$A=Список_товар_API[[#This Row],[Артикул]]),'История закупоку BUYER'!$C:$C))</f>
        <v>45835</v>
      </c>
      <c r="U6" s="35">
        <f>+IFERROR(AVERAGEIFS('История закупоку BUYER'!R:R,'История закупоку BUYER'!A:A,A6,'История закупоку BUYER'!C:C,T6)+Список_товар_API[[#This Row],[Цена упаковки]]+Список_товар_API[[#This Row],[цена доставки]]+Список_товар_API[[#This Row],[Цена честного знака]],0)</f>
        <v>794.09269976296378</v>
      </c>
      <c r="V6" s="9">
        <f>VLOOKUP(Список_товар_API[[#This Row],[Артикул]],Стоимости_товаров_OZON[],24,0)</f>
        <v>1989</v>
      </c>
      <c r="W6" s="35">
        <f>VLOOKUP(Список_товар_API[[#This Row],[Артикул]],Стоимости_товаров_OZON[],26,0)</f>
        <v>2700</v>
      </c>
      <c r="X6">
        <v>50</v>
      </c>
      <c r="Y6">
        <v>30</v>
      </c>
      <c r="Z6">
        <v>10</v>
      </c>
      <c r="AB6" s="3"/>
      <c r="AF6" s="3"/>
    </row>
    <row r="7" spans="1:32" x14ac:dyDescent="0.3">
      <c r="A7" t="s">
        <v>137</v>
      </c>
      <c r="E7" t="s">
        <v>62</v>
      </c>
      <c r="F7" t="s">
        <v>137</v>
      </c>
      <c r="G7">
        <v>90</v>
      </c>
      <c r="H7">
        <v>300</v>
      </c>
      <c r="I7">
        <v>80</v>
      </c>
      <c r="J7" t="s">
        <v>196</v>
      </c>
      <c r="K7">
        <v>400</v>
      </c>
      <c r="L7" t="s">
        <v>197</v>
      </c>
      <c r="M7">
        <v>17028973</v>
      </c>
      <c r="N7">
        <v>92843</v>
      </c>
      <c r="O7" t="s">
        <v>396</v>
      </c>
      <c r="P7">
        <v>623372162</v>
      </c>
      <c r="Q7">
        <v>10</v>
      </c>
      <c r="R7" t="s">
        <v>397</v>
      </c>
      <c r="S7" t="s">
        <v>561</v>
      </c>
      <c r="T7" s="1" cm="1">
        <f t="array" ref="T7">MAX(IF(('История закупоку BUYER'!$R:$R&gt;0)*('История закупоку BUYER'!$A:$A=Список_товар_API[[#This Row],[Артикул]]),'История закупоку BUYER'!$C:$C))</f>
        <v>45917</v>
      </c>
      <c r="U7" s="35">
        <f>+IFERROR(AVERAGEIFS('История закупоку BUYER'!R:R,'История закупоку BUYER'!A:A,A7,'История закупоку BUYER'!C:C,T7)+Список_товар_API[[#This Row],[Цена упаковки]]+Список_товар_API[[#This Row],[цена доставки]]+Список_товар_API[[#This Row],[Цена честного знака]],0)</f>
        <v>776.15354630789511</v>
      </c>
      <c r="V7" s="9">
        <f>VLOOKUP(Список_товар_API[[#This Row],[Артикул]],Стоимости_товаров_OZON[],24,0)</f>
        <v>1883</v>
      </c>
      <c r="W7" s="35">
        <f>VLOOKUP(Список_товар_API[[#This Row],[Артикул]],Стоимости_товаров_OZON[],26,0)</f>
        <v>2492</v>
      </c>
      <c r="X7">
        <v>50</v>
      </c>
      <c r="Y7">
        <v>30</v>
      </c>
      <c r="Z7">
        <v>10</v>
      </c>
      <c r="AB7" s="3"/>
      <c r="AF7" s="3"/>
    </row>
    <row r="8" spans="1:32" x14ac:dyDescent="0.3">
      <c r="A8" t="s">
        <v>138</v>
      </c>
      <c r="E8" t="s">
        <v>64</v>
      </c>
      <c r="F8" t="s">
        <v>138</v>
      </c>
      <c r="G8">
        <v>90</v>
      </c>
      <c r="H8">
        <v>300</v>
      </c>
      <c r="I8">
        <v>80</v>
      </c>
      <c r="J8" t="s">
        <v>196</v>
      </c>
      <c r="K8">
        <v>400</v>
      </c>
      <c r="L8" t="s">
        <v>197</v>
      </c>
      <c r="M8">
        <v>17028973</v>
      </c>
      <c r="N8">
        <v>92843</v>
      </c>
      <c r="O8" t="s">
        <v>398</v>
      </c>
      <c r="P8">
        <v>623372162</v>
      </c>
      <c r="Q8">
        <v>10</v>
      </c>
      <c r="R8" t="s">
        <v>399</v>
      </c>
      <c r="S8" t="s">
        <v>561</v>
      </c>
      <c r="T8" s="1" cm="1">
        <f t="array" ref="T8">MAX(IF(('История закупоку BUYER'!$R:$R&gt;0)*('История закупоку BUYER'!$A:$A=Список_товар_API[[#This Row],[Артикул]]),'История закупоку BUYER'!$C:$C))</f>
        <v>45917</v>
      </c>
      <c r="U8" s="35">
        <f>+IFERROR(AVERAGEIFS('История закупоку BUYER'!R:R,'История закупоку BUYER'!A:A,A8,'История закупоку BUYER'!C:C,T8)+Список_товар_API[[#This Row],[Цена упаковки]]+Список_товар_API[[#This Row],[цена доставки]]+Список_товар_API[[#This Row],[Цена честного знака]],0)</f>
        <v>776.15354630789511</v>
      </c>
      <c r="V8" s="9">
        <f>VLOOKUP(Список_товар_API[[#This Row],[Артикул]],Стоимости_товаров_OZON[],24,0)</f>
        <v>1946</v>
      </c>
      <c r="W8" s="35">
        <f>VLOOKUP(Список_товар_API[[#This Row],[Артикул]],Стоимости_товаров_OZON[],26,0)</f>
        <v>2603</v>
      </c>
      <c r="X8">
        <v>50</v>
      </c>
      <c r="Y8">
        <v>30</v>
      </c>
      <c r="Z8">
        <v>10</v>
      </c>
      <c r="AB8" s="3"/>
      <c r="AF8" s="3"/>
    </row>
    <row r="9" spans="1:32" x14ac:dyDescent="0.3">
      <c r="A9" t="s">
        <v>139</v>
      </c>
      <c r="E9" t="s">
        <v>66</v>
      </c>
      <c r="F9" t="s">
        <v>139</v>
      </c>
      <c r="G9">
        <v>100</v>
      </c>
      <c r="H9">
        <v>350</v>
      </c>
      <c r="I9">
        <v>80</v>
      </c>
      <c r="J9" t="s">
        <v>196</v>
      </c>
      <c r="K9">
        <v>500</v>
      </c>
      <c r="L9" t="s">
        <v>197</v>
      </c>
      <c r="M9">
        <v>17028973</v>
      </c>
      <c r="N9">
        <v>92843</v>
      </c>
      <c r="O9" t="s">
        <v>203</v>
      </c>
      <c r="P9">
        <v>358633050</v>
      </c>
      <c r="Q9">
        <v>23</v>
      </c>
      <c r="R9" t="s">
        <v>199</v>
      </c>
      <c r="S9" t="s">
        <v>561</v>
      </c>
      <c r="T9" s="1" cm="1">
        <f t="array" ref="T9">MAX(IF(('История закупоку BUYER'!$R:$R&gt;0)*('История закупоку BUYER'!$A:$A=Список_товар_API[[#This Row],[Артикул]]),'История закупоку BUYER'!$C:$C))</f>
        <v>45917</v>
      </c>
      <c r="U9" s="35">
        <f>+IFERROR(AVERAGEIFS('История закупоку BUYER'!R:R,'История закупоку BUYER'!A:A,A9,'История закупоку BUYER'!C:C,T9)+Список_товар_API[[#This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9" s="9">
        <f>VLOOKUP(Список_товар_API[[#This Row],[Артикул]],Стоимости_товаров_OZON[],24,0)</f>
        <v>1609</v>
      </c>
      <c r="W9" s="35">
        <f>VLOOKUP(Список_товар_API[[#This Row],[Артикул]],Стоимости_товаров_OZON[],26,0)</f>
        <v>2169</v>
      </c>
      <c r="X9">
        <v>50</v>
      </c>
      <c r="Y9">
        <v>30</v>
      </c>
      <c r="Z9">
        <v>10</v>
      </c>
      <c r="AB9" s="3"/>
      <c r="AF9" s="3"/>
    </row>
    <row r="10" spans="1:32" x14ac:dyDescent="0.3">
      <c r="A10" t="s">
        <v>140</v>
      </c>
      <c r="E10" t="s">
        <v>68</v>
      </c>
      <c r="F10" t="s">
        <v>140</v>
      </c>
      <c r="G10">
        <v>100</v>
      </c>
      <c r="H10">
        <v>350</v>
      </c>
      <c r="I10">
        <v>80</v>
      </c>
      <c r="J10" t="s">
        <v>196</v>
      </c>
      <c r="K10">
        <v>500</v>
      </c>
      <c r="L10" t="s">
        <v>197</v>
      </c>
      <c r="M10">
        <v>17028973</v>
      </c>
      <c r="N10">
        <v>92843</v>
      </c>
      <c r="O10" t="s">
        <v>204</v>
      </c>
      <c r="P10">
        <v>358633050</v>
      </c>
      <c r="Q10">
        <v>23</v>
      </c>
      <c r="R10" t="s">
        <v>199</v>
      </c>
      <c r="S10" t="s">
        <v>561</v>
      </c>
      <c r="T10" s="1" cm="1">
        <f t="array" ref="T10">MAX(IF(('История закупоку BUYER'!$R:$R&gt;0)*('История закупоку BUYER'!$A:$A=Список_товар_API[[#This Row],[Артикул]]),'История закупоку BUYER'!$C:$C))</f>
        <v>45917</v>
      </c>
      <c r="U10" s="35">
        <f>+IFERROR(AVERAGEIFS('История закупоку BUYER'!R:R,'История закупоку BUYER'!A:A,A10,'История закупоку BUYER'!C:C,T10)+Список_товар_API[[#This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10" s="9">
        <f>VLOOKUP(Список_товар_API[[#This Row],[Артикул]],Стоимости_товаров_OZON[],24,0)</f>
        <v>1582</v>
      </c>
      <c r="W10" s="35">
        <f>VLOOKUP(Список_товар_API[[#This Row],[Артикул]],Стоимости_товаров_OZON[],26,0)</f>
        <v>2120</v>
      </c>
      <c r="X10">
        <v>50</v>
      </c>
      <c r="Y10">
        <v>30</v>
      </c>
      <c r="Z10">
        <v>10</v>
      </c>
      <c r="AB10" s="3"/>
      <c r="AF10" s="3"/>
    </row>
    <row r="11" spans="1:32" x14ac:dyDescent="0.3">
      <c r="A11" t="s">
        <v>141</v>
      </c>
      <c r="E11" t="s">
        <v>70</v>
      </c>
      <c r="F11" t="s">
        <v>141</v>
      </c>
      <c r="G11">
        <v>90</v>
      </c>
      <c r="H11">
        <v>300</v>
      </c>
      <c r="I11">
        <v>80</v>
      </c>
      <c r="J11" t="s">
        <v>196</v>
      </c>
      <c r="K11">
        <v>400</v>
      </c>
      <c r="L11" t="s">
        <v>197</v>
      </c>
      <c r="M11">
        <v>17028973</v>
      </c>
      <c r="N11">
        <v>92843</v>
      </c>
      <c r="O11" t="s">
        <v>400</v>
      </c>
      <c r="P11">
        <v>623372162</v>
      </c>
      <c r="Q11">
        <v>10</v>
      </c>
      <c r="R11" t="s">
        <v>401</v>
      </c>
      <c r="S11" t="s">
        <v>561</v>
      </c>
      <c r="T11" s="1" cm="1">
        <f t="array" ref="T11">MAX(IF(('История закупоку BUYER'!$R:$R&gt;0)*('История закупоку BUYER'!$A:$A=Список_товар_API[[#This Row],[Артикул]]),'История закупоку BUYER'!$C:$C))</f>
        <v>45917</v>
      </c>
      <c r="U11" s="35">
        <f>+IFERROR(AVERAGEIFS('История закупоку BUYER'!R:R,'История закупоку BUYER'!A:A,A11,'История закупоку BUYER'!C:C,T11)+Список_товар_API[[#This Row],[Цена упаковки]]+Список_товар_API[[#This Row],[цена доставки]]+Список_товар_API[[#This Row],[Цена честного знака]],0)</f>
        <v>776.15354630789511</v>
      </c>
      <c r="V11" s="9">
        <f>VLOOKUP(Список_товар_API[[#This Row],[Артикул]],Стоимости_товаров_OZON[],24,0)</f>
        <v>1883</v>
      </c>
      <c r="W11" s="35">
        <f>VLOOKUP(Список_товар_API[[#This Row],[Артикул]],Стоимости_товаров_OZON[],26,0)</f>
        <v>2492</v>
      </c>
      <c r="X11">
        <v>50</v>
      </c>
      <c r="Y11">
        <v>30</v>
      </c>
      <c r="Z11">
        <v>10</v>
      </c>
      <c r="AB11" s="3"/>
      <c r="AF11" s="3"/>
    </row>
    <row r="12" spans="1:32" x14ac:dyDescent="0.3">
      <c r="A12" t="s">
        <v>142</v>
      </c>
      <c r="E12" t="s">
        <v>72</v>
      </c>
      <c r="F12" t="s">
        <v>142</v>
      </c>
      <c r="G12">
        <v>90</v>
      </c>
      <c r="H12">
        <v>300</v>
      </c>
      <c r="I12">
        <v>80</v>
      </c>
      <c r="J12" t="s">
        <v>196</v>
      </c>
      <c r="K12">
        <v>400</v>
      </c>
      <c r="L12" t="s">
        <v>197</v>
      </c>
      <c r="M12">
        <v>17028973</v>
      </c>
      <c r="N12">
        <v>92843</v>
      </c>
      <c r="O12" t="s">
        <v>402</v>
      </c>
      <c r="P12">
        <v>623372162</v>
      </c>
      <c r="Q12">
        <v>10</v>
      </c>
      <c r="R12" t="s">
        <v>399</v>
      </c>
      <c r="S12" t="s">
        <v>561</v>
      </c>
      <c r="T12" s="1" cm="1">
        <f t="array" ref="T12">MAX(IF(('История закупоку BUYER'!$R:$R&gt;0)*('История закупоку BUYER'!$A:$A=Список_товар_API[[#This Row],[Артикул]]),'История закупоку BUYER'!$C:$C))</f>
        <v>45917</v>
      </c>
      <c r="U12" s="35">
        <f>+IFERROR(AVERAGEIFS('История закупоку BUYER'!R:R,'История закупоку BUYER'!A:A,A12,'История закупоку BUYER'!C:C,T12)+Список_товар_API[[#This Row],[Цена упаковки]]+Список_товар_API[[#This Row],[цена доставки]]+Список_товар_API[[#This Row],[Цена честного знака]],0)</f>
        <v>776.15354630789511</v>
      </c>
      <c r="V12" s="9">
        <f>VLOOKUP(Список_товар_API[[#This Row],[Артикул]],Стоимости_товаров_OZON[],24,0)</f>
        <v>1883</v>
      </c>
      <c r="W12" s="35">
        <f>VLOOKUP(Список_товар_API[[#This Row],[Артикул]],Стоимости_товаров_OZON[],26,0)</f>
        <v>2492</v>
      </c>
      <c r="X12">
        <v>50</v>
      </c>
      <c r="Y12">
        <v>30</v>
      </c>
      <c r="Z12">
        <v>10</v>
      </c>
      <c r="AB12" s="3"/>
      <c r="AF12" s="3"/>
    </row>
    <row r="13" spans="1:32" x14ac:dyDescent="0.3">
      <c r="A13" t="s">
        <v>143</v>
      </c>
      <c r="E13" t="s">
        <v>90</v>
      </c>
      <c r="F13" t="s">
        <v>143</v>
      </c>
      <c r="G13">
        <v>100</v>
      </c>
      <c r="H13">
        <v>410</v>
      </c>
      <c r="I13">
        <v>80</v>
      </c>
      <c r="J13" t="s">
        <v>196</v>
      </c>
      <c r="K13">
        <v>500</v>
      </c>
      <c r="L13" t="s">
        <v>197</v>
      </c>
      <c r="M13">
        <v>17028973</v>
      </c>
      <c r="N13">
        <v>92843</v>
      </c>
      <c r="O13" t="s">
        <v>205</v>
      </c>
      <c r="P13">
        <v>358633050</v>
      </c>
      <c r="Q13">
        <v>23</v>
      </c>
      <c r="R13" t="s">
        <v>199</v>
      </c>
      <c r="S13" t="s">
        <v>561</v>
      </c>
      <c r="T13" s="1" cm="1">
        <f t="array" ref="T13">MAX(IF(('История закупоку BUYER'!$R:$R&gt;0)*('История закупоку BUYER'!$A:$A=Список_товар_API[[#This Row],[Артикул]]),'История закупоку BUYER'!$C:$C))</f>
        <v>45917</v>
      </c>
      <c r="U13" s="35">
        <f>+IFERROR(AVERAGEIFS('История закупоку BUYER'!R:R,'История закупоку BUYER'!A:A,A13,'История закупоку BUYER'!C:C,T13)+Список_товар_API[[#This Row],[Цена упаковки]]+Список_товар_API[[#This Row],[цена доставки]]+Список_товар_API[[#This Row],[Цена честного знака]],0)</f>
        <v>604.47806838486895</v>
      </c>
      <c r="V13" s="9">
        <f>VLOOKUP(Список_товар_API[[#This Row],[Артикул]],Стоимости_товаров_OZON[],24,0)</f>
        <v>1592</v>
      </c>
      <c r="W13" s="35">
        <f>VLOOKUP(Список_товар_API[[#This Row],[Артикул]],Стоимости_товаров_OZON[],26,0)</f>
        <v>2166</v>
      </c>
      <c r="X13">
        <v>50</v>
      </c>
      <c r="Y13">
        <v>30</v>
      </c>
      <c r="Z13">
        <v>10</v>
      </c>
      <c r="AB13" s="3"/>
      <c r="AF13" s="3"/>
    </row>
    <row r="14" spans="1:32" x14ac:dyDescent="0.3">
      <c r="A14" t="s">
        <v>144</v>
      </c>
      <c r="E14" t="s">
        <v>92</v>
      </c>
      <c r="F14" t="s">
        <v>144</v>
      </c>
      <c r="G14">
        <v>100</v>
      </c>
      <c r="H14">
        <v>410</v>
      </c>
      <c r="I14">
        <v>80</v>
      </c>
      <c r="J14" t="s">
        <v>196</v>
      </c>
      <c r="K14">
        <v>500</v>
      </c>
      <c r="L14" t="s">
        <v>197</v>
      </c>
      <c r="M14">
        <v>17028973</v>
      </c>
      <c r="N14">
        <v>92843</v>
      </c>
      <c r="O14" t="s">
        <v>206</v>
      </c>
      <c r="P14">
        <v>358633050</v>
      </c>
      <c r="Q14">
        <v>23</v>
      </c>
      <c r="R14" t="s">
        <v>199</v>
      </c>
      <c r="S14" t="s">
        <v>561</v>
      </c>
      <c r="T14" s="1" cm="1">
        <f t="array" ref="T14">MAX(IF(('История закупоку BUYER'!$R:$R&gt;0)*('История закупоку BUYER'!$A:$A=Список_товар_API[[#This Row],[Артикул]]),'История закупоку BUYER'!$C:$C))</f>
        <v>45917</v>
      </c>
      <c r="U14" s="35">
        <f>+IFERROR(AVERAGEIFS('История закупоку BUYER'!R:R,'История закупоку BUYER'!A:A,A14,'История закупоку BUYER'!C:C,T14)+Список_товар_API[[#This Row],[Цена упаковки]]+Список_товар_API[[#This Row],[цена доставки]]+Список_товар_API[[#This Row],[Цена честного знака]],0)</f>
        <v>604.47806838486895</v>
      </c>
      <c r="V14" s="9">
        <f>VLOOKUP(Список_товар_API[[#This Row],[Артикул]],Стоимости_товаров_OZON[],24,0)</f>
        <v>1592</v>
      </c>
      <c r="W14" s="35">
        <f>VLOOKUP(Список_товар_API[[#This Row],[Артикул]],Стоимости_товаров_OZON[],26,0)</f>
        <v>2166</v>
      </c>
      <c r="X14">
        <v>50</v>
      </c>
      <c r="Y14">
        <v>30</v>
      </c>
      <c r="Z14">
        <v>10</v>
      </c>
      <c r="AB14" s="3"/>
      <c r="AF14" s="3"/>
    </row>
    <row r="15" spans="1:32" x14ac:dyDescent="0.3">
      <c r="A15" t="s">
        <v>145</v>
      </c>
      <c r="E15" t="s">
        <v>94</v>
      </c>
      <c r="F15" t="s">
        <v>145</v>
      </c>
      <c r="G15">
        <v>100</v>
      </c>
      <c r="H15">
        <v>410</v>
      </c>
      <c r="I15">
        <v>80</v>
      </c>
      <c r="J15" t="s">
        <v>196</v>
      </c>
      <c r="K15">
        <v>500</v>
      </c>
      <c r="L15" t="s">
        <v>197</v>
      </c>
      <c r="M15">
        <v>17028973</v>
      </c>
      <c r="N15">
        <v>92843</v>
      </c>
      <c r="O15" t="s">
        <v>207</v>
      </c>
      <c r="P15">
        <v>358633050</v>
      </c>
      <c r="Q15">
        <v>23</v>
      </c>
      <c r="R15" t="s">
        <v>199</v>
      </c>
      <c r="S15" t="s">
        <v>561</v>
      </c>
      <c r="T15" s="1" cm="1">
        <f t="array" ref="T15">MAX(IF(('История закупоку BUYER'!$R:$R&gt;0)*('История закупоку BUYER'!$A:$A=Список_товар_API[[#This Row],[Артикул]]),'История закупоку BUYER'!$C:$C))</f>
        <v>45917</v>
      </c>
      <c r="U15" s="35">
        <f>+IFERROR(AVERAGEIFS('История закупоку BUYER'!R:R,'История закупоку BUYER'!A:A,A15,'История закупоку BUYER'!C:C,T15)+Список_товар_API[[#This Row],[Цена упаковки]]+Список_товар_API[[#This Row],[цена доставки]]+Список_товар_API[[#This Row],[Цена честного знака]],0)</f>
        <v>604.47806838486895</v>
      </c>
      <c r="V15" s="9">
        <f>VLOOKUP(Список_товар_API[[#This Row],[Артикул]],Стоимости_товаров_OZON[],24,0)</f>
        <v>1592</v>
      </c>
      <c r="W15" s="35">
        <f>VLOOKUP(Список_товар_API[[#This Row],[Артикул]],Стоимости_товаров_OZON[],26,0)</f>
        <v>2166</v>
      </c>
      <c r="X15">
        <v>50</v>
      </c>
      <c r="Y15">
        <v>30</v>
      </c>
      <c r="Z15">
        <v>10</v>
      </c>
      <c r="AB15" s="3"/>
      <c r="AF15" s="3"/>
    </row>
    <row r="16" spans="1:32" x14ac:dyDescent="0.3">
      <c r="A16" s="2" t="s">
        <v>146</v>
      </c>
      <c r="E16" t="s">
        <v>74</v>
      </c>
      <c r="F16" t="s">
        <v>146</v>
      </c>
      <c r="G16">
        <v>100</v>
      </c>
      <c r="H16">
        <v>350</v>
      </c>
      <c r="I16">
        <v>80</v>
      </c>
      <c r="J16" t="s">
        <v>196</v>
      </c>
      <c r="K16">
        <v>500</v>
      </c>
      <c r="L16" t="s">
        <v>197</v>
      </c>
      <c r="M16">
        <v>17028973</v>
      </c>
      <c r="N16">
        <v>92843</v>
      </c>
      <c r="O16" t="s">
        <v>208</v>
      </c>
      <c r="P16">
        <v>358633050</v>
      </c>
      <c r="Q16">
        <v>23</v>
      </c>
      <c r="R16" t="s">
        <v>199</v>
      </c>
      <c r="S16" t="s">
        <v>561</v>
      </c>
      <c r="T16" s="1" cm="1">
        <f t="array" ref="T16">MAX(IF(('История закупоку BUYER'!$R:$R&gt;0)*('История закупоку BUYER'!$A:$A=Список_товар_API[[#This Row],[Артикул]]),'История закупоку BUYER'!$C:$C))</f>
        <v>45917</v>
      </c>
      <c r="U16" s="35">
        <f>+IFERROR(AVERAGEIFS('История закупоку BUYER'!R:R,'История закупоку BUYER'!A:A,A16,'История закупоку BUYER'!C:C,T16)+Список_товар_API[[#This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16" s="9">
        <f>VLOOKUP(Список_товар_API[[#This Row],[Артикул]],Стоимости_товаров_OZON[],24,0)</f>
        <v>1566</v>
      </c>
      <c r="W16" s="35">
        <f>VLOOKUP(Список_товар_API[[#This Row],[Артикул]],Стоимости_товаров_OZON[],26,0)</f>
        <v>2092</v>
      </c>
      <c r="X16">
        <v>50</v>
      </c>
      <c r="Y16">
        <v>30</v>
      </c>
      <c r="Z16">
        <v>10</v>
      </c>
      <c r="AB16" s="3"/>
      <c r="AF16" s="3"/>
    </row>
    <row r="17" spans="1:32" x14ac:dyDescent="0.3">
      <c r="A17" t="s">
        <v>147</v>
      </c>
      <c r="E17" t="s">
        <v>76</v>
      </c>
      <c r="F17" t="s">
        <v>147</v>
      </c>
      <c r="G17">
        <v>100</v>
      </c>
      <c r="H17">
        <v>350</v>
      </c>
      <c r="I17">
        <v>80</v>
      </c>
      <c r="J17" t="s">
        <v>196</v>
      </c>
      <c r="K17">
        <v>500</v>
      </c>
      <c r="L17" t="s">
        <v>197</v>
      </c>
      <c r="M17">
        <v>17028973</v>
      </c>
      <c r="N17">
        <v>92843</v>
      </c>
      <c r="O17" t="s">
        <v>209</v>
      </c>
      <c r="P17">
        <v>358633050</v>
      </c>
      <c r="Q17">
        <v>23</v>
      </c>
      <c r="R17" t="s">
        <v>199</v>
      </c>
      <c r="S17" t="s">
        <v>561</v>
      </c>
      <c r="T17" s="1" cm="1">
        <f t="array" ref="T17">MAX(IF(('История закупоку BUYER'!$R:$R&gt;0)*('История закупоку BUYER'!$A:$A=Список_товар_API[[#This Row],[Артикул]]),'История закупоку BUYER'!$C:$C))</f>
        <v>45917</v>
      </c>
      <c r="U17" s="35">
        <f>+IFERROR(AVERAGEIFS('История закупоку BUYER'!R:R,'История закупоку BUYER'!A:A,A17,'История закупоку BUYER'!C:C,T17)+Список_товар_API[[#This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17" s="9">
        <f>VLOOKUP(Список_товар_API[[#This Row],[Артикул]],Стоимости_товаров_OZON[],24,0)</f>
        <v>1568</v>
      </c>
      <c r="W17" s="35">
        <f>VLOOKUP(Список_товар_API[[#This Row],[Артикул]],Стоимости_товаров_OZON[],26,0)</f>
        <v>2096</v>
      </c>
      <c r="X17">
        <v>50</v>
      </c>
      <c r="Y17">
        <v>30</v>
      </c>
      <c r="Z17">
        <v>10</v>
      </c>
      <c r="AB17" s="3"/>
      <c r="AF17" s="3"/>
    </row>
    <row r="18" spans="1:32" x14ac:dyDescent="0.3">
      <c r="A18" t="s">
        <v>148</v>
      </c>
      <c r="E18" t="s">
        <v>78</v>
      </c>
      <c r="F18" t="s">
        <v>148</v>
      </c>
      <c r="G18">
        <v>100</v>
      </c>
      <c r="H18">
        <v>350</v>
      </c>
      <c r="I18">
        <v>80</v>
      </c>
      <c r="J18" t="s">
        <v>196</v>
      </c>
      <c r="K18">
        <v>500</v>
      </c>
      <c r="L18" t="s">
        <v>197</v>
      </c>
      <c r="M18">
        <v>17028973</v>
      </c>
      <c r="N18">
        <v>92843</v>
      </c>
      <c r="O18" t="s">
        <v>210</v>
      </c>
      <c r="P18">
        <v>358633050</v>
      </c>
      <c r="Q18">
        <v>23</v>
      </c>
      <c r="R18" t="s">
        <v>199</v>
      </c>
      <c r="S18" t="s">
        <v>561</v>
      </c>
      <c r="T18" s="1" cm="1">
        <f t="array" ref="T18">MAX(IF(('История закупоку BUYER'!$R:$R&gt;0)*('История закупоку BUYER'!$A:$A=Список_товар_API[[#This Row],[Артикул]]),'История закупоку BUYER'!$C:$C))</f>
        <v>45917</v>
      </c>
      <c r="U18" s="35">
        <f>+IFERROR(AVERAGEIFS('История закупоку BUYER'!R:R,'История закупоку BUYER'!A:A,A18,'История закупоку BUYER'!C:C,T18)+Список_товар_API[[#This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18" s="9">
        <f>VLOOKUP(Список_товар_API[[#This Row],[Артикул]],Стоимости_товаров_OZON[],24,0)</f>
        <v>1557</v>
      </c>
      <c r="W18" s="35">
        <f>VLOOKUP(Список_товар_API[[#This Row],[Артикул]],Стоимости_товаров_OZON[],26,0)</f>
        <v>2075</v>
      </c>
      <c r="X18">
        <v>50</v>
      </c>
      <c r="Y18">
        <v>30</v>
      </c>
      <c r="Z18">
        <v>10</v>
      </c>
      <c r="AB18" s="3"/>
      <c r="AF18" s="3"/>
    </row>
    <row r="19" spans="1:32" x14ac:dyDescent="0.3">
      <c r="A19" t="s">
        <v>149</v>
      </c>
      <c r="E19" t="s">
        <v>80</v>
      </c>
      <c r="F19" t="s">
        <v>149</v>
      </c>
      <c r="G19">
        <v>100</v>
      </c>
      <c r="H19">
        <v>350</v>
      </c>
      <c r="I19">
        <v>80</v>
      </c>
      <c r="J19" t="s">
        <v>196</v>
      </c>
      <c r="K19">
        <v>500</v>
      </c>
      <c r="L19" t="s">
        <v>197</v>
      </c>
      <c r="M19">
        <v>17028973</v>
      </c>
      <c r="N19">
        <v>92843</v>
      </c>
      <c r="O19" t="s">
        <v>211</v>
      </c>
      <c r="P19">
        <v>358633050</v>
      </c>
      <c r="Q19">
        <v>23</v>
      </c>
      <c r="R19" t="s">
        <v>199</v>
      </c>
      <c r="S19" t="s">
        <v>561</v>
      </c>
      <c r="T19" s="1" cm="1">
        <f t="array" ref="T19">MAX(IF(('История закупоку BUYER'!$R:$R&gt;0)*('История закупоку BUYER'!$A:$A=Список_товар_API[[#This Row],[Артикул]]),'История закупоку BUYER'!$C:$C))</f>
        <v>45917</v>
      </c>
      <c r="U19" s="35">
        <f>+IFERROR(AVERAGEIFS('История закупоку BUYER'!R:R,'История закупоку BUYER'!A:A,A19,'История закупоку BUYER'!C:C,T19)+Список_товар_API[[#This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19" s="9">
        <f>VLOOKUP(Список_товар_API[[#This Row],[Артикул]],Стоимости_товаров_OZON[],24,0)</f>
        <v>1609</v>
      </c>
      <c r="W19" s="35">
        <f>VLOOKUP(Список_товар_API[[#This Row],[Артикул]],Стоимости_товаров_OZON[],26,0)</f>
        <v>2169</v>
      </c>
      <c r="X19">
        <v>50</v>
      </c>
      <c r="Y19">
        <v>30</v>
      </c>
      <c r="Z19">
        <v>10</v>
      </c>
      <c r="AB19" s="3"/>
      <c r="AF19" s="3"/>
    </row>
    <row r="20" spans="1:32" x14ac:dyDescent="0.3">
      <c r="A20" t="s">
        <v>150</v>
      </c>
      <c r="E20" t="s">
        <v>82</v>
      </c>
      <c r="F20" t="s">
        <v>150</v>
      </c>
      <c r="G20">
        <v>100</v>
      </c>
      <c r="H20">
        <v>350</v>
      </c>
      <c r="I20">
        <v>80</v>
      </c>
      <c r="J20" t="s">
        <v>196</v>
      </c>
      <c r="K20">
        <v>500</v>
      </c>
      <c r="L20" t="s">
        <v>197</v>
      </c>
      <c r="M20">
        <v>17028973</v>
      </c>
      <c r="N20">
        <v>92843</v>
      </c>
      <c r="O20" t="s">
        <v>212</v>
      </c>
      <c r="P20">
        <v>358633050</v>
      </c>
      <c r="Q20">
        <v>23</v>
      </c>
      <c r="R20" t="s">
        <v>199</v>
      </c>
      <c r="S20" t="s">
        <v>561</v>
      </c>
      <c r="T20" s="1" cm="1">
        <f t="array" ref="T20">MAX(IF(('История закупоку BUYER'!$R:$R&gt;0)*('История закупоку BUYER'!$A:$A=Список_товар_API[[#This Row],[Артикул]]),'История закупоку BUYER'!$C:$C))</f>
        <v>45917</v>
      </c>
      <c r="U20" s="35">
        <f>+IFERROR(AVERAGEIFS('История закупоку BUYER'!R:R,'История закупоку BUYER'!A:A,A20,'История закупоку BUYER'!C:C,T20)+Список_товар_API[[#This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20" s="9">
        <f>VLOOKUP(Список_товар_API[[#This Row],[Артикул]],Стоимости_товаров_OZON[],24,0)</f>
        <v>1557</v>
      </c>
      <c r="W20" s="35">
        <f>VLOOKUP(Список_товар_API[[#This Row],[Артикул]],Стоимости_товаров_OZON[],26,0)</f>
        <v>2075</v>
      </c>
      <c r="X20">
        <v>50</v>
      </c>
      <c r="Y20">
        <v>30</v>
      </c>
      <c r="Z20">
        <v>10</v>
      </c>
      <c r="AB20" s="3"/>
      <c r="AF20" s="3"/>
    </row>
    <row r="21" spans="1:32" x14ac:dyDescent="0.3">
      <c r="A21" t="s">
        <v>151</v>
      </c>
      <c r="E21" t="s">
        <v>84</v>
      </c>
      <c r="F21" t="s">
        <v>151</v>
      </c>
      <c r="G21">
        <v>100</v>
      </c>
      <c r="H21">
        <v>350</v>
      </c>
      <c r="I21">
        <v>80</v>
      </c>
      <c r="J21" t="s">
        <v>196</v>
      </c>
      <c r="K21">
        <v>500</v>
      </c>
      <c r="L21" t="s">
        <v>197</v>
      </c>
      <c r="M21">
        <v>17028973</v>
      </c>
      <c r="N21">
        <v>92843</v>
      </c>
      <c r="O21" t="s">
        <v>213</v>
      </c>
      <c r="P21">
        <v>358633050</v>
      </c>
      <c r="Q21">
        <v>23</v>
      </c>
      <c r="R21" t="s">
        <v>199</v>
      </c>
      <c r="S21" t="s">
        <v>561</v>
      </c>
      <c r="T21" s="1" cm="1">
        <f t="array" ref="T21">MAX(IF(('История закупоку BUYER'!$R:$R&gt;0)*('История закупоку BUYER'!$A:$A=Список_товар_API[[#This Row],[Артикул]]),'История закупоку BUYER'!$C:$C))</f>
        <v>45917</v>
      </c>
      <c r="U21" s="35">
        <f>+IFERROR(AVERAGEIFS('История закупоку BUYER'!R:R,'История закупоку BUYER'!A:A,A21,'История закупоку BUYER'!C:C,T21)+Список_товар_API[[#This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21" s="9">
        <f>VLOOKUP(Список_товар_API[[#This Row],[Артикул]],Стоимости_товаров_OZON[],24,0)</f>
        <v>1609</v>
      </c>
      <c r="W21" s="35">
        <f>VLOOKUP(Список_товар_API[[#This Row],[Артикул]],Стоимости_товаров_OZON[],26,0)</f>
        <v>2169</v>
      </c>
      <c r="X21">
        <v>50</v>
      </c>
      <c r="Y21">
        <v>30</v>
      </c>
      <c r="Z21">
        <v>10</v>
      </c>
      <c r="AB21" s="3"/>
      <c r="AF21" s="3"/>
    </row>
    <row r="22" spans="1:32" x14ac:dyDescent="0.3">
      <c r="A22" t="s">
        <v>152</v>
      </c>
      <c r="E22" t="s">
        <v>86</v>
      </c>
      <c r="F22" t="s">
        <v>152</v>
      </c>
      <c r="G22">
        <v>100</v>
      </c>
      <c r="H22">
        <v>350</v>
      </c>
      <c r="I22">
        <v>80</v>
      </c>
      <c r="J22" t="s">
        <v>196</v>
      </c>
      <c r="K22">
        <v>500</v>
      </c>
      <c r="L22" t="s">
        <v>197</v>
      </c>
      <c r="M22">
        <v>17028973</v>
      </c>
      <c r="N22">
        <v>92843</v>
      </c>
      <c r="O22" t="s">
        <v>214</v>
      </c>
      <c r="P22">
        <v>358633050</v>
      </c>
      <c r="Q22">
        <v>23</v>
      </c>
      <c r="R22" t="s">
        <v>199</v>
      </c>
      <c r="S22" t="s">
        <v>561</v>
      </c>
      <c r="T22" s="1" cm="1">
        <f t="array" ref="T22">MAX(IF(('История закупоку BUYER'!$R:$R&gt;0)*('История закупоку BUYER'!$A:$A=Список_товар_API[[#This Row],[Артикул]]),'История закупоку BUYER'!$C:$C))</f>
        <v>45917</v>
      </c>
      <c r="U22" s="35">
        <f>+IFERROR(AVERAGEIFS('История закупоку BUYER'!R:R,'История закупоку BUYER'!A:A,A22,'История закупоку BUYER'!C:C,T22)+Список_товар_API[[#This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22" s="9">
        <f>VLOOKUP(Список_товар_API[[#This Row],[Артикул]],Стоимости_товаров_OZON[],24,0)</f>
        <v>1609</v>
      </c>
      <c r="W22" s="35">
        <f>VLOOKUP(Список_товар_API[[#This Row],[Артикул]],Стоимости_товаров_OZON[],26,0)</f>
        <v>2169</v>
      </c>
      <c r="X22">
        <v>50</v>
      </c>
      <c r="Y22">
        <v>30</v>
      </c>
      <c r="Z22">
        <v>10</v>
      </c>
      <c r="AB22" s="3"/>
      <c r="AF22" s="3"/>
    </row>
    <row r="23" spans="1:32" x14ac:dyDescent="0.3">
      <c r="A23" t="s">
        <v>153</v>
      </c>
      <c r="E23" t="s">
        <v>88</v>
      </c>
      <c r="F23" t="s">
        <v>153</v>
      </c>
      <c r="G23">
        <v>100</v>
      </c>
      <c r="H23">
        <v>350</v>
      </c>
      <c r="I23">
        <v>80</v>
      </c>
      <c r="J23" t="s">
        <v>196</v>
      </c>
      <c r="K23">
        <v>500</v>
      </c>
      <c r="L23" t="s">
        <v>197</v>
      </c>
      <c r="M23">
        <v>17028973</v>
      </c>
      <c r="N23">
        <v>92843</v>
      </c>
      <c r="O23" t="s">
        <v>215</v>
      </c>
      <c r="P23">
        <v>358633050</v>
      </c>
      <c r="Q23">
        <v>23</v>
      </c>
      <c r="R23" t="s">
        <v>199</v>
      </c>
      <c r="S23" t="s">
        <v>561</v>
      </c>
      <c r="T23" s="1" cm="1">
        <f t="array" ref="T23">MAX(IF(('История закупоку BUYER'!$R:$R&gt;0)*('История закупоку BUYER'!$A:$A=Список_товар_API[[#This Row],[Артикул]]),'История закупоку BUYER'!$C:$C))</f>
        <v>45917</v>
      </c>
      <c r="U23" s="35">
        <f>+IFERROR(AVERAGEIFS('История закупоку BUYER'!R:R,'История закупоку BUYER'!A:A,A23,'История закупоку BUYER'!C:C,T23)+Список_товар_API[[#This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23" s="9">
        <f>VLOOKUP(Список_товар_API[[#This Row],[Артикул]],Стоимости_товаров_OZON[],24,0)</f>
        <v>1574</v>
      </c>
      <c r="W23" s="35">
        <f>VLOOKUP(Список_товар_API[[#This Row],[Артикул]],Стоимости_товаров_OZON[],26,0)</f>
        <v>2105</v>
      </c>
      <c r="X23">
        <v>50</v>
      </c>
      <c r="Y23">
        <v>30</v>
      </c>
      <c r="Z23">
        <v>10</v>
      </c>
      <c r="AB23" s="3"/>
      <c r="AF23" s="3"/>
    </row>
    <row r="24" spans="1:32" x14ac:dyDescent="0.3">
      <c r="A24" t="s">
        <v>154</v>
      </c>
      <c r="E24" t="s">
        <v>96</v>
      </c>
      <c r="F24" t="s">
        <v>154</v>
      </c>
      <c r="G24">
        <v>100</v>
      </c>
      <c r="H24">
        <v>350</v>
      </c>
      <c r="I24">
        <v>80</v>
      </c>
      <c r="J24" t="s">
        <v>196</v>
      </c>
      <c r="K24">
        <v>500</v>
      </c>
      <c r="L24" t="s">
        <v>197</v>
      </c>
      <c r="M24">
        <v>17028973</v>
      </c>
      <c r="N24">
        <v>92843</v>
      </c>
      <c r="O24" t="s">
        <v>216</v>
      </c>
      <c r="P24">
        <v>358633050</v>
      </c>
      <c r="Q24">
        <v>23</v>
      </c>
      <c r="R24" t="s">
        <v>199</v>
      </c>
      <c r="S24" t="s">
        <v>561</v>
      </c>
      <c r="T24" s="1" cm="1">
        <f t="array" ref="T24">MAX(IF(('История закупоку BUYER'!$R:$R&gt;0)*('История закупоку BUYER'!$A:$A=Список_товар_API[[#This Row],[Артикул]]),'История закупоку BUYER'!$C:$C))</f>
        <v>45917</v>
      </c>
      <c r="U24" s="35">
        <f>+IFERROR(AVERAGEIFS('История закупоку BUYER'!R:R,'История закупоку BUYER'!A:A,A24,'История закупоку BUYER'!C:C,T24)+Список_товар_API[[#This Row],[Цена упаковки]]+Список_товар_API[[#This Row],[цена доставки]]+Список_товар_API[[#This Row],[Цена честного знака]],0)</f>
        <v>626.62465838486889</v>
      </c>
      <c r="V24" s="9">
        <f>VLOOKUP(Список_товар_API[[#This Row],[Артикул]],Стоимости_товаров_OZON[],24,0)</f>
        <v>1609</v>
      </c>
      <c r="W24" s="35">
        <f>VLOOKUP(Список_товар_API[[#This Row],[Артикул]],Стоимости_товаров_OZON[],26,0)</f>
        <v>2169</v>
      </c>
      <c r="X24">
        <v>50</v>
      </c>
      <c r="Y24">
        <v>30</v>
      </c>
      <c r="Z24">
        <v>10</v>
      </c>
      <c r="AB24" s="3"/>
      <c r="AF24" s="3"/>
    </row>
    <row r="25" spans="1:32" x14ac:dyDescent="0.3">
      <c r="A25" t="s">
        <v>155</v>
      </c>
      <c r="E25" t="s">
        <v>98</v>
      </c>
      <c r="F25" t="s">
        <v>155</v>
      </c>
      <c r="G25">
        <v>100</v>
      </c>
      <c r="H25">
        <v>130</v>
      </c>
      <c r="I25">
        <v>80</v>
      </c>
      <c r="J25" t="s">
        <v>196</v>
      </c>
      <c r="K25">
        <v>250</v>
      </c>
      <c r="L25" t="s">
        <v>197</v>
      </c>
      <c r="M25">
        <v>17028973</v>
      </c>
      <c r="N25">
        <v>92843</v>
      </c>
      <c r="O25" t="s">
        <v>217</v>
      </c>
      <c r="P25">
        <v>358633050</v>
      </c>
      <c r="Q25">
        <v>23</v>
      </c>
      <c r="R25" t="s">
        <v>199</v>
      </c>
      <c r="S25" t="s">
        <v>561</v>
      </c>
      <c r="T25" s="1" cm="1">
        <f t="array" ref="T25">MAX(IF(('История закупоку BUYER'!$R:$R&gt;0)*('История закупоку BUYER'!$A:$A=Список_товар_API[[#This Row],[Артикул]]),'История закупоку BUYER'!$C:$C))</f>
        <v>45917</v>
      </c>
      <c r="U25" s="35">
        <f>+IFERROR(AVERAGEIFS('История закупоку BUYER'!R:R,'История закупоку BUYER'!A:A,A25,'История закупоку BUYER'!C:C,T25)+Список_товар_API[[#This Row],[Цена упаковки]]+Список_товар_API[[#This Row],[цена доставки]]+Список_товар_API[[#This Row],[Цена честного знака]],0)</f>
        <v>344.49985069243445</v>
      </c>
      <c r="V25" s="9">
        <f>VLOOKUP(Список_товар_API[[#This Row],[Артикул]],Стоимости_товаров_OZON[],24,0)</f>
        <v>933</v>
      </c>
      <c r="W25" s="35">
        <f>VLOOKUP(Список_товар_API[[#This Row],[Артикул]],Стоимости_товаров_OZON[],26,0)</f>
        <v>1281</v>
      </c>
      <c r="X25">
        <v>50</v>
      </c>
      <c r="Y25">
        <v>30</v>
      </c>
      <c r="Z25">
        <v>10</v>
      </c>
      <c r="AB25" s="3"/>
      <c r="AF25" s="3"/>
    </row>
    <row r="26" spans="1:32" x14ac:dyDescent="0.3">
      <c r="A26" t="s">
        <v>156</v>
      </c>
      <c r="E26" t="s">
        <v>100</v>
      </c>
      <c r="F26" t="s">
        <v>156</v>
      </c>
      <c r="G26">
        <v>100</v>
      </c>
      <c r="H26">
        <v>250</v>
      </c>
      <c r="I26">
        <v>80</v>
      </c>
      <c r="J26" t="s">
        <v>196</v>
      </c>
      <c r="K26">
        <v>250</v>
      </c>
      <c r="L26" t="s">
        <v>197</v>
      </c>
      <c r="M26">
        <v>17028973</v>
      </c>
      <c r="N26">
        <v>92843</v>
      </c>
      <c r="O26" t="s">
        <v>218</v>
      </c>
      <c r="P26">
        <v>358633050</v>
      </c>
      <c r="Q26">
        <v>23</v>
      </c>
      <c r="R26" t="s">
        <v>199</v>
      </c>
      <c r="S26" t="s">
        <v>561</v>
      </c>
      <c r="T26" s="1" cm="1">
        <f t="array" ref="T26">MAX(IF(('История закупоку BUYER'!$R:$R&gt;0)*('История закупоку BUYER'!$A:$A=Список_товар_API[[#This Row],[Артикул]]),'История закупоку BUYER'!$C:$C))</f>
        <v>45917</v>
      </c>
      <c r="U26" s="35">
        <f>+IFERROR(AVERAGEIFS('История закупоку BUYER'!R:R,'История закупоку BUYER'!A:A,A26,'История закупоку BUYER'!C:C,T26)+Список_товар_API[[#This Row],[Цена упаковки]]+Список_товар_API[[#This Row],[цена доставки]]+Список_товар_API[[#This Row],[Цена честного знака]],0)</f>
        <v>394.27139769243445</v>
      </c>
      <c r="V26" s="9">
        <f>VLOOKUP(Список_товар_API[[#This Row],[Артикул]],Стоимости_товаров_OZON[],24,0)</f>
        <v>1061</v>
      </c>
      <c r="W26" s="35">
        <f>VLOOKUP(Список_товар_API[[#This Row],[Артикул]],Стоимости_товаров_OZON[],26,0)</f>
        <v>1454</v>
      </c>
      <c r="X26">
        <v>50</v>
      </c>
      <c r="Y26">
        <v>30</v>
      </c>
      <c r="Z26">
        <v>10</v>
      </c>
      <c r="AB26" s="3"/>
      <c r="AF26" s="3"/>
    </row>
    <row r="27" spans="1:32" x14ac:dyDescent="0.3">
      <c r="A27" t="s">
        <v>157</v>
      </c>
      <c r="E27" t="s">
        <v>102</v>
      </c>
      <c r="F27" t="s">
        <v>157</v>
      </c>
      <c r="G27">
        <v>100</v>
      </c>
      <c r="H27">
        <v>130</v>
      </c>
      <c r="I27">
        <v>80</v>
      </c>
      <c r="J27" t="s">
        <v>196</v>
      </c>
      <c r="K27">
        <v>250</v>
      </c>
      <c r="L27" t="s">
        <v>197</v>
      </c>
      <c r="M27">
        <v>17028973</v>
      </c>
      <c r="N27">
        <v>92843</v>
      </c>
      <c r="O27" t="s">
        <v>219</v>
      </c>
      <c r="P27">
        <v>358633050</v>
      </c>
      <c r="Q27">
        <v>23</v>
      </c>
      <c r="R27" t="s">
        <v>199</v>
      </c>
      <c r="S27" t="s">
        <v>561</v>
      </c>
      <c r="T27" s="1" cm="1">
        <f t="array" ref="T27">MAX(IF(('История закупоку BUYER'!$R:$R&gt;0)*('История закупоку BUYER'!$A:$A=Список_товар_API[[#This Row],[Артикул]]),'История закупоку BUYER'!$C:$C))</f>
        <v>45917</v>
      </c>
      <c r="U27" s="35">
        <f>+IFERROR(AVERAGEIFS('История закупоку BUYER'!R:R,'История закупоку BUYER'!A:A,A27,'История закупоку BUYER'!C:C,T27)+Список_товар_API[[#This Row],[Цена упаковки]]+Список_товар_API[[#This Row],[цена доставки]]+Список_товар_API[[#This Row],[Цена честного знака]],0)</f>
        <v>344.49985069243445</v>
      </c>
      <c r="V27" s="9">
        <f>VLOOKUP(Список_товар_API[[#This Row],[Артикул]],Стоимости_товаров_OZON[],24,0)</f>
        <v>933</v>
      </c>
      <c r="W27" s="35">
        <f>VLOOKUP(Список_товар_API[[#This Row],[Артикул]],Стоимости_товаров_OZON[],26,0)</f>
        <v>1400</v>
      </c>
      <c r="X27">
        <v>50</v>
      </c>
      <c r="Y27">
        <v>30</v>
      </c>
      <c r="Z27">
        <v>10</v>
      </c>
      <c r="AB27" s="3"/>
      <c r="AF27" s="3"/>
    </row>
    <row r="28" spans="1:32" x14ac:dyDescent="0.3">
      <c r="A28" t="s">
        <v>158</v>
      </c>
      <c r="E28" t="s">
        <v>104</v>
      </c>
      <c r="F28" t="s">
        <v>158</v>
      </c>
      <c r="G28">
        <v>100</v>
      </c>
      <c r="H28">
        <v>130</v>
      </c>
      <c r="I28">
        <v>80</v>
      </c>
      <c r="J28" t="s">
        <v>196</v>
      </c>
      <c r="K28">
        <v>250</v>
      </c>
      <c r="L28" t="s">
        <v>197</v>
      </c>
      <c r="M28">
        <v>17028973</v>
      </c>
      <c r="N28">
        <v>92843</v>
      </c>
      <c r="O28" t="s">
        <v>220</v>
      </c>
      <c r="P28">
        <v>358633050</v>
      </c>
      <c r="Q28">
        <v>23</v>
      </c>
      <c r="R28" t="s">
        <v>199</v>
      </c>
      <c r="S28" t="s">
        <v>561</v>
      </c>
      <c r="T28" s="1" cm="1">
        <f t="array" ref="T28">MAX(IF(('История закупоку BUYER'!$R:$R&gt;0)*('История закупоку BUYER'!$A:$A=Список_товар_API[[#This Row],[Артикул]]),'История закупоку BUYER'!$C:$C))</f>
        <v>45917</v>
      </c>
      <c r="U28" s="35">
        <f>+IFERROR(AVERAGEIFS('История закупоку BUYER'!R:R,'История закупоку BUYER'!A:A,A28,'История закупоку BUYER'!C:C,T28)+Список_товар_API[[#This Row],[Цена упаковки]]+Список_товар_API[[#This Row],[цена доставки]]+Список_товар_API[[#This Row],[Цена честного знака]],0)</f>
        <v>344.49985069243445</v>
      </c>
      <c r="V28" s="9">
        <f>VLOOKUP(Список_товар_API[[#This Row],[Артикул]],Стоимости_товаров_OZON[],24,0)</f>
        <v>921</v>
      </c>
      <c r="W28" s="35">
        <f>VLOOKUP(Список_товар_API[[#This Row],[Артикул]],Стоимости_товаров_OZON[],26,0)</f>
        <v>1258</v>
      </c>
      <c r="X28">
        <v>50</v>
      </c>
      <c r="Y28">
        <v>30</v>
      </c>
      <c r="Z28">
        <v>10</v>
      </c>
      <c r="AB28" s="3"/>
      <c r="AF28" s="3"/>
    </row>
    <row r="29" spans="1:32" x14ac:dyDescent="0.3">
      <c r="A29" t="s">
        <v>159</v>
      </c>
      <c r="E29" t="s">
        <v>106</v>
      </c>
      <c r="F29" t="s">
        <v>159</v>
      </c>
      <c r="G29">
        <v>100</v>
      </c>
      <c r="H29">
        <v>250</v>
      </c>
      <c r="I29">
        <v>80</v>
      </c>
      <c r="J29" t="s">
        <v>196</v>
      </c>
      <c r="K29">
        <v>250</v>
      </c>
      <c r="L29" t="s">
        <v>197</v>
      </c>
      <c r="M29">
        <v>17028973</v>
      </c>
      <c r="N29">
        <v>92843</v>
      </c>
      <c r="O29" t="s">
        <v>221</v>
      </c>
      <c r="P29">
        <v>358633050</v>
      </c>
      <c r="Q29">
        <v>23</v>
      </c>
      <c r="R29" t="s">
        <v>199</v>
      </c>
      <c r="S29" t="s">
        <v>561</v>
      </c>
      <c r="T29" s="1" cm="1">
        <f t="array" ref="T29">MAX(IF(('История закупоку BUYER'!$R:$R&gt;0)*('История закупоку BUYER'!$A:$A=Список_товар_API[[#This Row],[Артикул]]),'История закупоку BUYER'!$C:$C))</f>
        <v>45917</v>
      </c>
      <c r="U29" s="35">
        <f>+IFERROR(AVERAGEIFS('История закупоку BUYER'!R:R,'История закупоку BUYER'!A:A,A29,'История закупоку BUYER'!C:C,T29)+Список_товар_API[[#This Row],[Цена упаковки]]+Список_товар_API[[#This Row],[цена доставки]]+Список_товар_API[[#This Row],[Цена честного знака]],0)</f>
        <v>394.27139769243445</v>
      </c>
      <c r="V29" s="9">
        <f>VLOOKUP(Список_товар_API[[#This Row],[Артикул]],Стоимости_товаров_OZON[],24,0)</f>
        <v>1023</v>
      </c>
      <c r="W29" s="35">
        <f>VLOOKUP(Список_товар_API[[#This Row],[Артикул]],Стоимости_товаров_OZON[],26,0)</f>
        <v>1384</v>
      </c>
      <c r="X29">
        <v>50</v>
      </c>
      <c r="Y29">
        <v>30</v>
      </c>
      <c r="Z29">
        <v>10</v>
      </c>
      <c r="AB29" s="3"/>
      <c r="AF29" s="3"/>
    </row>
    <row r="30" spans="1:32" x14ac:dyDescent="0.3">
      <c r="A30" t="s">
        <v>160</v>
      </c>
      <c r="E30" t="s">
        <v>108</v>
      </c>
      <c r="F30" t="s">
        <v>160</v>
      </c>
      <c r="G30">
        <v>100</v>
      </c>
      <c r="H30">
        <v>250</v>
      </c>
      <c r="I30">
        <v>80</v>
      </c>
      <c r="J30" t="s">
        <v>196</v>
      </c>
      <c r="K30">
        <v>250</v>
      </c>
      <c r="L30" t="s">
        <v>197</v>
      </c>
      <c r="M30">
        <v>17028973</v>
      </c>
      <c r="N30">
        <v>92843</v>
      </c>
      <c r="O30" t="s">
        <v>222</v>
      </c>
      <c r="P30">
        <v>358633050</v>
      </c>
      <c r="Q30">
        <v>23</v>
      </c>
      <c r="R30" t="s">
        <v>199</v>
      </c>
      <c r="S30" t="s">
        <v>561</v>
      </c>
      <c r="T30" s="1" cm="1">
        <f t="array" ref="T30">MAX(IF(('История закупоку BUYER'!$R:$R&gt;0)*('История закупоку BUYER'!$A:$A=Список_товар_API[[#This Row],[Артикул]]),'История закупоку BUYER'!$C:$C))</f>
        <v>45917</v>
      </c>
      <c r="U30" s="35">
        <f>+IFERROR(AVERAGEIFS('История закупоку BUYER'!R:R,'История закупоку BUYER'!A:A,A30,'История закупоку BUYER'!C:C,T30)+Список_товар_API[[#This Row],[Цена упаковки]]+Список_товар_API[[#This Row],[цена доставки]]+Список_товар_API[[#This Row],[Цена честного знака]],0)</f>
        <v>394.27139769243445</v>
      </c>
      <c r="V30" s="9">
        <f>VLOOKUP(Список_товар_API[[#This Row],[Артикул]],Стоимости_товаров_OZON[],24,0)</f>
        <v>1061</v>
      </c>
      <c r="W30" s="35">
        <f>VLOOKUP(Список_товар_API[[#This Row],[Артикул]],Стоимости_товаров_OZON[],26,0)</f>
        <v>1454</v>
      </c>
      <c r="X30">
        <v>50</v>
      </c>
      <c r="Y30">
        <v>30</v>
      </c>
      <c r="Z30">
        <v>10</v>
      </c>
      <c r="AB30" s="3"/>
      <c r="AF30" s="3"/>
    </row>
    <row r="31" spans="1:32" x14ac:dyDescent="0.3">
      <c r="A31" t="s">
        <v>161</v>
      </c>
      <c r="E31" t="s">
        <v>113</v>
      </c>
      <c r="F31" t="s">
        <v>161</v>
      </c>
      <c r="G31">
        <v>50</v>
      </c>
      <c r="H31">
        <v>140</v>
      </c>
      <c r="I31">
        <v>120</v>
      </c>
      <c r="J31" t="s">
        <v>196</v>
      </c>
      <c r="K31">
        <v>250</v>
      </c>
      <c r="L31" t="s">
        <v>197</v>
      </c>
      <c r="M31">
        <v>17028649</v>
      </c>
      <c r="N31">
        <v>95272</v>
      </c>
      <c r="O31" t="s">
        <v>223</v>
      </c>
      <c r="P31">
        <v>49816357</v>
      </c>
      <c r="Q31">
        <v>5</v>
      </c>
      <c r="R31" t="s">
        <v>199</v>
      </c>
      <c r="S31" t="s">
        <v>561</v>
      </c>
      <c r="T31" s="1" cm="1">
        <f t="array" ref="T31">MAX(IF(('История закупоку BUYER'!$R:$R&gt;0)*('История закупоку BUYER'!$A:$A=Список_товар_API[[#This Row],[Артикул]]),'История закупоку BUYER'!$C:$C))</f>
        <v>45675</v>
      </c>
      <c r="U31" s="35">
        <f>+IFERROR(AVERAGEIFS('История закупоку BUYER'!R:R,'История закупоку BUYER'!A:A,A31,'История закупоку BUYER'!C:C,T31)+Список_товар_API[[#This Row],[Цена упаковки]]+Список_товар_API[[#This Row],[цена доставки]]+Список_товар_API[[#This Row],[Цена честного знака]],0)</f>
        <v>1563.4092797144638</v>
      </c>
      <c r="V31" s="9">
        <f>VLOOKUP(Список_товар_API[[#This Row],[Артикул]],Стоимости_товаров_OZON[],24,0)</f>
        <v>3934</v>
      </c>
      <c r="W31" s="35">
        <f>VLOOKUP(Список_товар_API[[#This Row],[Артикул]],Стоимости_товаров_OZON[],26,0)</f>
        <v>5256</v>
      </c>
      <c r="X31">
        <v>50</v>
      </c>
      <c r="Y31">
        <v>30</v>
      </c>
      <c r="Z31">
        <v>10</v>
      </c>
      <c r="AB31" s="3"/>
      <c r="AF31" s="3"/>
    </row>
    <row r="32" spans="1:32" x14ac:dyDescent="0.3">
      <c r="A32" t="s">
        <v>162</v>
      </c>
      <c r="E32" t="s">
        <v>115</v>
      </c>
      <c r="F32" t="s">
        <v>162</v>
      </c>
      <c r="G32">
        <v>50</v>
      </c>
      <c r="H32">
        <v>140</v>
      </c>
      <c r="I32">
        <v>120</v>
      </c>
      <c r="J32" t="s">
        <v>196</v>
      </c>
      <c r="K32">
        <v>250</v>
      </c>
      <c r="L32" t="s">
        <v>197</v>
      </c>
      <c r="M32">
        <v>17028649</v>
      </c>
      <c r="N32">
        <v>95272</v>
      </c>
      <c r="O32" t="s">
        <v>224</v>
      </c>
      <c r="P32">
        <v>49816357</v>
      </c>
      <c r="Q32">
        <v>5</v>
      </c>
      <c r="R32" t="s">
        <v>199</v>
      </c>
      <c r="S32" t="s">
        <v>561</v>
      </c>
      <c r="T32" s="1" cm="1">
        <f t="array" ref="T32">MAX(IF(('История закупоку BUYER'!$R:$R&gt;0)*('История закупоку BUYER'!$A:$A=Список_товар_API[[#This Row],[Артикул]]),'История закупоку BUYER'!$C:$C))</f>
        <v>45675</v>
      </c>
      <c r="U32" s="35">
        <f>+IFERROR(AVERAGEIFS('История закупоку BUYER'!R:R,'История закупоку BUYER'!A:A,A32,'История закупоку BUYER'!C:C,T32)+Список_товар_API[[#This Row],[Цена упаковки]]+Список_товар_API[[#This Row],[цена доставки]]+Список_товар_API[[#This Row],[Цена честного знака]],0)</f>
        <v>1563.4092797144638</v>
      </c>
      <c r="V32" s="9">
        <f>VLOOKUP(Список_товар_API[[#This Row],[Артикул]],Стоимости_товаров_OZON[],24,0)</f>
        <v>4063</v>
      </c>
      <c r="W32" s="35">
        <f>VLOOKUP(Список_товар_API[[#This Row],[Артикул]],Стоимости_товаров_OZON[],26,0)</f>
        <v>5490</v>
      </c>
      <c r="X32">
        <v>50</v>
      </c>
      <c r="Y32">
        <v>30</v>
      </c>
      <c r="Z32">
        <v>10</v>
      </c>
      <c r="AB32" s="3"/>
      <c r="AF32" s="3"/>
    </row>
    <row r="33" spans="1:32" x14ac:dyDescent="0.3">
      <c r="A33" t="s">
        <v>163</v>
      </c>
      <c r="E33" t="s">
        <v>117</v>
      </c>
      <c r="F33" t="s">
        <v>163</v>
      </c>
      <c r="G33">
        <v>50</v>
      </c>
      <c r="H33">
        <v>140</v>
      </c>
      <c r="I33">
        <v>120</v>
      </c>
      <c r="J33" t="s">
        <v>196</v>
      </c>
      <c r="K33">
        <v>250</v>
      </c>
      <c r="L33" t="s">
        <v>197</v>
      </c>
      <c r="M33">
        <v>17028649</v>
      </c>
      <c r="N33">
        <v>95272</v>
      </c>
      <c r="O33" t="s">
        <v>225</v>
      </c>
      <c r="P33">
        <v>49816357</v>
      </c>
      <c r="Q33">
        <v>5</v>
      </c>
      <c r="R33" t="s">
        <v>199</v>
      </c>
      <c r="S33" t="s">
        <v>561</v>
      </c>
      <c r="T33" s="1" cm="1">
        <f t="array" ref="T33">MAX(IF(('История закупоку BUYER'!$R:$R&gt;0)*('История закупоку BUYER'!$A:$A=Список_товар_API[[#This Row],[Артикул]]),'История закупоку BUYER'!$C:$C))</f>
        <v>45675</v>
      </c>
      <c r="U33" s="35">
        <f>+IFERROR(AVERAGEIFS('История закупоку BUYER'!R:R,'История закупоку BUYER'!A:A,A33,'История закупоку BUYER'!C:C,T33)+Список_товар_API[[#This Row],[Цена упаковки]]+Список_товар_API[[#This Row],[цена доставки]]+Список_товар_API[[#This Row],[Цена честного знака]],0)</f>
        <v>1563.4092797144638</v>
      </c>
      <c r="V33" s="9">
        <f>VLOOKUP(Список_товар_API[[#This Row],[Артикул]],Стоимости_товаров_OZON[],24,0)</f>
        <v>3934</v>
      </c>
      <c r="W33" s="35">
        <f>VLOOKUP(Список_товар_API[[#This Row],[Артикул]],Стоимости_товаров_OZON[],26,0)</f>
        <v>5256</v>
      </c>
      <c r="X33">
        <v>50</v>
      </c>
      <c r="Y33">
        <v>30</v>
      </c>
      <c r="Z33">
        <v>10</v>
      </c>
      <c r="AB33" s="3"/>
      <c r="AF33" s="3"/>
    </row>
    <row r="34" spans="1:32" x14ac:dyDescent="0.3">
      <c r="A34" t="s">
        <v>594</v>
      </c>
      <c r="E34" t="s">
        <v>628</v>
      </c>
      <c r="F34" t="s">
        <v>594</v>
      </c>
      <c r="G34">
        <v>100</v>
      </c>
      <c r="H34">
        <v>500</v>
      </c>
      <c r="I34">
        <v>420</v>
      </c>
      <c r="J34" t="s">
        <v>196</v>
      </c>
      <c r="K34">
        <v>1750</v>
      </c>
      <c r="L34" t="s">
        <v>197</v>
      </c>
      <c r="M34">
        <v>17028973</v>
      </c>
      <c r="N34">
        <v>92843</v>
      </c>
      <c r="O34" t="s">
        <v>595</v>
      </c>
      <c r="P34">
        <v>107961920</v>
      </c>
      <c r="Q34">
        <v>4</v>
      </c>
      <c r="R34" t="s">
        <v>596</v>
      </c>
      <c r="S34" t="s">
        <v>561</v>
      </c>
      <c r="T34" s="1" cm="1">
        <f t="array" ref="T34">MAX(IF(('История закупоку BUYER'!$R:$R&gt;0)*('История закупоку BUYER'!$A:$A=Список_товар_API[[#This Row],[Артикул]]),'История закупоку BUYER'!$C:$C))</f>
        <v>45675</v>
      </c>
      <c r="U34" s="36">
        <f>+IFERROR(AVERAGEIFS('История закупоку BUYER'!R:R,'История закупоку BUYER'!A:A,A34,'История закупоку BUYER'!C:C,T34)+Список_товар_API[[#This Row],[Цена упаковки]]+Список_товар_API[[#This Row],[цена доставки]]+Список_товар_API[[#This Row],[Цена честного знака]],0)</f>
        <v>1728.694888583505</v>
      </c>
      <c r="V34" s="9">
        <f>VLOOKUP(Список_товар_API[[#This Row],[Артикул]],Стоимости_товаров_OZON[],24,0)</f>
        <v>4637</v>
      </c>
      <c r="W34" s="36">
        <f>VLOOKUP(Список_товар_API[[#This Row],[Артикул]],Стоимости_товаров_OZON[],26,0)</f>
        <v>6341</v>
      </c>
      <c r="X34">
        <v>50</v>
      </c>
      <c r="Y34">
        <v>30</v>
      </c>
      <c r="Z34">
        <v>10</v>
      </c>
      <c r="AB34" s="14"/>
      <c r="AF34" s="14"/>
    </row>
    <row r="35" spans="1:32" x14ac:dyDescent="0.3">
      <c r="A35" t="s">
        <v>597</v>
      </c>
      <c r="E35" t="s">
        <v>634</v>
      </c>
      <c r="F35" t="s">
        <v>597</v>
      </c>
      <c r="G35">
        <v>100</v>
      </c>
      <c r="H35">
        <v>505</v>
      </c>
      <c r="I35">
        <v>270</v>
      </c>
      <c r="J35" t="s">
        <v>196</v>
      </c>
      <c r="K35">
        <v>1200</v>
      </c>
      <c r="L35" t="s">
        <v>197</v>
      </c>
      <c r="M35">
        <v>17028973</v>
      </c>
      <c r="N35">
        <v>92843</v>
      </c>
      <c r="O35" t="s">
        <v>595</v>
      </c>
      <c r="P35">
        <v>107961920</v>
      </c>
      <c r="Q35">
        <v>4</v>
      </c>
      <c r="R35" t="s">
        <v>598</v>
      </c>
      <c r="S35" t="s">
        <v>561</v>
      </c>
      <c r="T35" s="1" cm="1">
        <f t="array" ref="T35">MAX(IF(('История закупоку BUYER'!$R:$R&gt;0)*('История закупоку BUYER'!$A:$A=Список_товар_API[[#This Row],[Артикул]]),'История закупоку BUYER'!$C:$C))</f>
        <v>45675</v>
      </c>
      <c r="U35" s="36">
        <f>+IFERROR(AVERAGEIFS('История закупоку BUYER'!R:R,'История закупоку BUYER'!A:A,A35,'История закупоку BUYER'!C:C,T35)+Список_товар_API[[#This Row],[Цена упаковки]]+Список_товар_API[[#This Row],[цена доставки]]+Список_товар_API[[#This Row],[Цена честного знака]],0)</f>
        <v>1184.8330831919545</v>
      </c>
      <c r="V35" s="9">
        <f>VLOOKUP(Список_товар_API[[#This Row],[Артикул]],Стоимости_товаров_OZON[],24,0)</f>
        <v>3199</v>
      </c>
      <c r="W35" s="36">
        <f>VLOOKUP(Список_товар_API[[#This Row],[Артикул]],Стоимости_товаров_OZON[],26,0)</f>
        <v>4386</v>
      </c>
      <c r="X35">
        <v>50</v>
      </c>
      <c r="Y35">
        <v>30</v>
      </c>
      <c r="Z35">
        <v>10</v>
      </c>
      <c r="AB35" s="14"/>
      <c r="AF35" s="14"/>
    </row>
    <row r="36" spans="1:32" x14ac:dyDescent="0.3">
      <c r="A36" t="s">
        <v>599</v>
      </c>
      <c r="E36" t="s">
        <v>626</v>
      </c>
      <c r="F36" t="s">
        <v>599</v>
      </c>
      <c r="G36">
        <v>100</v>
      </c>
      <c r="H36">
        <v>470</v>
      </c>
      <c r="I36">
        <v>400</v>
      </c>
      <c r="J36" t="s">
        <v>196</v>
      </c>
      <c r="K36">
        <v>1500</v>
      </c>
      <c r="L36" t="s">
        <v>197</v>
      </c>
      <c r="M36">
        <v>17028973</v>
      </c>
      <c r="N36">
        <v>92843</v>
      </c>
      <c r="O36" t="s">
        <v>595</v>
      </c>
      <c r="P36">
        <v>107961920</v>
      </c>
      <c r="Q36">
        <v>4</v>
      </c>
      <c r="R36" t="s">
        <v>600</v>
      </c>
      <c r="S36" t="s">
        <v>561</v>
      </c>
      <c r="T36" s="1" cm="1">
        <f t="array" ref="T36">MAX(IF(('История закупоку BUYER'!$R:$R&gt;0)*('История закупоку BUYER'!$A:$A=Список_товар_API[[#This Row],[Артикул]]),'История закупоку BUYER'!$C:$C))</f>
        <v>45675</v>
      </c>
      <c r="U36" s="36">
        <f>+IFERROR(AVERAGEIFS('История закупоку BUYER'!R:R,'История закупоку BUYER'!A:A,A36,'История закупоку BUYER'!C:C,T36)+Список_товар_API[[#This Row],[Цена упаковки]]+Список_товар_API[[#This Row],[цена доставки]]+Список_товар_API[[#This Row],[Цена честного знака]],0)</f>
        <v>1361.2364964840958</v>
      </c>
      <c r="V36" s="9">
        <f>VLOOKUP(Список_товар_API[[#This Row],[Артикул]],Стоимости_товаров_OZON[],24,0)</f>
        <v>3751</v>
      </c>
      <c r="W36" s="36">
        <f>VLOOKUP(Список_товар_API[[#This Row],[Артикул]],Стоимости_товаров_OZON[],26,0)</f>
        <v>5500</v>
      </c>
      <c r="X36">
        <v>50</v>
      </c>
      <c r="Y36">
        <v>30</v>
      </c>
      <c r="Z36">
        <v>10</v>
      </c>
      <c r="AB36" s="14"/>
      <c r="AF36" s="14"/>
    </row>
    <row r="37" spans="1:32" x14ac:dyDescent="0.3">
      <c r="A37" t="s">
        <v>164</v>
      </c>
      <c r="E37" t="s">
        <v>228</v>
      </c>
      <c r="F37" t="s">
        <v>164</v>
      </c>
      <c r="G37">
        <v>42</v>
      </c>
      <c r="H37">
        <v>240</v>
      </c>
      <c r="I37">
        <v>104</v>
      </c>
      <c r="J37" t="s">
        <v>196</v>
      </c>
      <c r="K37">
        <v>220</v>
      </c>
      <c r="L37" t="s">
        <v>197</v>
      </c>
      <c r="M37">
        <v>17028973</v>
      </c>
      <c r="N37">
        <v>92843</v>
      </c>
      <c r="O37" t="s">
        <v>476</v>
      </c>
      <c r="P37">
        <v>633768210</v>
      </c>
      <c r="Q37">
        <v>10</v>
      </c>
      <c r="R37" t="s">
        <v>477</v>
      </c>
      <c r="S37" t="s">
        <v>561</v>
      </c>
      <c r="T37" s="1" cm="1">
        <f t="array" ref="T37">MAX(IF(('История закупоку BUYER'!$R:$R&gt;0)*('История закупоку BUYER'!$A:$A=Список_товар_API[[#This Row],[Артикул]]),'История закупоку BUYER'!$C:$C))</f>
        <v>45917</v>
      </c>
      <c r="U37" s="35">
        <f>+IFERROR(AVERAGEIFS('История закупоку BUYER'!R:R,'История закупоку BUYER'!A:A,A37,'История закупоку BUYER'!C:C,T37)+Список_товар_API[[#This Row],[Цена упаковки]]+Список_товар_API[[#This Row],[цена доставки]]+Список_товар_API[[#This Row],[Цена честного знака]],0)</f>
        <v>465.92743796934235</v>
      </c>
      <c r="V37" s="9">
        <f>VLOOKUP(Список_товар_API[[#This Row],[Артикул]],Стоимости_товаров_OZON[],24,0)</f>
        <v>1179</v>
      </c>
      <c r="W37" s="35">
        <f>VLOOKUP(Список_товар_API[[#This Row],[Артикул]],Стоимости_товаров_OZON[],26,0)</f>
        <v>1581</v>
      </c>
      <c r="X37">
        <v>50</v>
      </c>
      <c r="Y37">
        <v>30</v>
      </c>
      <c r="Z37">
        <v>10</v>
      </c>
      <c r="AB37" s="3"/>
      <c r="AF37" s="3"/>
    </row>
    <row r="38" spans="1:32" x14ac:dyDescent="0.3">
      <c r="A38" t="s">
        <v>165</v>
      </c>
      <c r="E38" t="s">
        <v>230</v>
      </c>
      <c r="F38" t="s">
        <v>165</v>
      </c>
      <c r="G38">
        <v>42</v>
      </c>
      <c r="H38">
        <v>240</v>
      </c>
      <c r="I38">
        <v>104</v>
      </c>
      <c r="J38" t="s">
        <v>196</v>
      </c>
      <c r="K38">
        <v>220</v>
      </c>
      <c r="L38" t="s">
        <v>197</v>
      </c>
      <c r="M38">
        <v>17028973</v>
      </c>
      <c r="N38">
        <v>92843</v>
      </c>
      <c r="O38" t="s">
        <v>478</v>
      </c>
      <c r="P38">
        <v>633768210</v>
      </c>
      <c r="Q38">
        <v>10</v>
      </c>
      <c r="R38" t="s">
        <v>479</v>
      </c>
      <c r="S38" t="s">
        <v>561</v>
      </c>
      <c r="T38" s="1" cm="1">
        <f t="array" ref="T38">MAX(IF(('История закупоку BUYER'!$R:$R&gt;0)*('История закупоку BUYER'!$A:$A=Список_товар_API[[#This Row],[Артикул]]),'История закупоку BUYER'!$C:$C))</f>
        <v>45917</v>
      </c>
      <c r="U38" s="35">
        <f>+IFERROR(AVERAGEIFS('История закупоку BUYER'!R:R,'История закупоку BUYER'!A:A,A38,'История закупоку BUYER'!C:C,T38)+Список_товар_API[[#This Row],[Цена упаковки]]+Список_товар_API[[#This Row],[цена доставки]]+Список_товар_API[[#This Row],[Цена честного знака]],0)</f>
        <v>465.92743796934235</v>
      </c>
      <c r="V38" s="9">
        <f>VLOOKUP(Список_товар_API[[#This Row],[Артикул]],Стоимости_товаров_OZON[],24,0)</f>
        <v>1201</v>
      </c>
      <c r="W38" s="35">
        <f>VLOOKUP(Список_товар_API[[#This Row],[Артикул]],Стоимости_товаров_OZON[],26,0)</f>
        <v>1621</v>
      </c>
      <c r="X38">
        <v>50</v>
      </c>
      <c r="Y38">
        <v>30</v>
      </c>
      <c r="Z38">
        <v>10</v>
      </c>
      <c r="AB38" s="3"/>
      <c r="AF38" s="3"/>
    </row>
    <row r="39" spans="1:32" x14ac:dyDescent="0.3">
      <c r="A39" t="s">
        <v>166</v>
      </c>
      <c r="E39" t="s">
        <v>232</v>
      </c>
      <c r="F39" t="s">
        <v>166</v>
      </c>
      <c r="G39">
        <v>60</v>
      </c>
      <c r="H39">
        <v>240</v>
      </c>
      <c r="I39">
        <v>104</v>
      </c>
      <c r="J39" t="s">
        <v>196</v>
      </c>
      <c r="K39">
        <v>220</v>
      </c>
      <c r="L39" t="s">
        <v>197</v>
      </c>
      <c r="M39">
        <v>17028973</v>
      </c>
      <c r="N39">
        <v>92843</v>
      </c>
      <c r="O39" t="s">
        <v>480</v>
      </c>
      <c r="P39">
        <v>633768210</v>
      </c>
      <c r="Q39">
        <v>10</v>
      </c>
      <c r="R39" t="s">
        <v>480</v>
      </c>
      <c r="S39" t="s">
        <v>561</v>
      </c>
      <c r="T39" s="1" cm="1">
        <f t="array" ref="T39">MAX(IF(('История закупоку BUYER'!$R:$R&gt;0)*('История закупоку BUYER'!$A:$A=Список_товар_API[[#This Row],[Артикул]]),'История закупоку BUYER'!$C:$C))</f>
        <v>45917</v>
      </c>
      <c r="U39" s="35">
        <f>+IFERROR(AVERAGEIFS('История закупоку BUYER'!R:R,'История закупоку BUYER'!A:A,A39,'История закупоку BUYER'!C:C,T39)+Список_товар_API[[#This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39" s="9">
        <f>VLOOKUP(Список_товар_API[[#This Row],[Артикул]],Стоимости_товаров_OZON[],24,0)</f>
        <v>1256</v>
      </c>
      <c r="W39" s="35">
        <f>VLOOKUP(Список_товар_API[[#This Row],[Артикул]],Стоимости_товаров_OZON[],26,0)</f>
        <v>1680</v>
      </c>
      <c r="X39">
        <v>50</v>
      </c>
      <c r="Y39">
        <v>30</v>
      </c>
      <c r="Z39">
        <v>10</v>
      </c>
      <c r="AB39" s="3"/>
      <c r="AF39" s="3"/>
    </row>
    <row r="40" spans="1:32" x14ac:dyDescent="0.3">
      <c r="A40" t="s">
        <v>167</v>
      </c>
      <c r="E40" t="s">
        <v>234</v>
      </c>
      <c r="F40" t="s">
        <v>167</v>
      </c>
      <c r="G40">
        <v>42</v>
      </c>
      <c r="H40">
        <v>240</v>
      </c>
      <c r="I40">
        <v>104</v>
      </c>
      <c r="J40" t="s">
        <v>196</v>
      </c>
      <c r="K40">
        <v>220</v>
      </c>
      <c r="L40" t="s">
        <v>197</v>
      </c>
      <c r="M40">
        <v>17028973</v>
      </c>
      <c r="N40">
        <v>92843</v>
      </c>
      <c r="O40" t="s">
        <v>481</v>
      </c>
      <c r="P40">
        <v>633768210</v>
      </c>
      <c r="Q40">
        <v>10</v>
      </c>
      <c r="R40" t="s">
        <v>482</v>
      </c>
      <c r="S40" t="s">
        <v>561</v>
      </c>
      <c r="T40" s="1" cm="1">
        <f t="array" ref="T40">MAX(IF(('История закупоку BUYER'!$R:$R&gt;0)*('История закупоку BUYER'!$A:$A=Список_товар_API[[#This Row],[Артикул]]),'История закупоку BUYER'!$C:$C))</f>
        <v>45917</v>
      </c>
      <c r="U40" s="35">
        <f>+IFERROR(AVERAGEIFS('История закупоку BUYER'!R:R,'История закупоку BUYER'!A:A,A40,'История закупоку BUYER'!C:C,T40)+Список_товар_API[[#This Row],[Цена упаковки]]+Список_товар_API[[#This Row],[цена доставки]]+Список_товар_API[[#This Row],[Цена честного знака]],0)</f>
        <v>465.92743796934235</v>
      </c>
      <c r="V40" s="9">
        <f>VLOOKUP(Список_товар_API[[#This Row],[Артикул]],Стоимости_товаров_OZON[],24,0)</f>
        <v>1199</v>
      </c>
      <c r="W40" s="35">
        <f>VLOOKUP(Список_товар_API[[#This Row],[Артикул]],Стоимости_товаров_OZON[],26,0)</f>
        <v>1618</v>
      </c>
      <c r="X40">
        <v>50</v>
      </c>
      <c r="Y40">
        <v>30</v>
      </c>
      <c r="Z40">
        <v>10</v>
      </c>
      <c r="AB40" s="1"/>
      <c r="AF40" s="3"/>
    </row>
    <row r="41" spans="1:32" x14ac:dyDescent="0.3">
      <c r="A41" t="s">
        <v>168</v>
      </c>
      <c r="E41" t="s">
        <v>236</v>
      </c>
      <c r="F41" t="s">
        <v>168</v>
      </c>
      <c r="G41">
        <v>60</v>
      </c>
      <c r="H41">
        <v>240</v>
      </c>
      <c r="I41">
        <v>104</v>
      </c>
      <c r="J41" t="s">
        <v>196</v>
      </c>
      <c r="K41">
        <v>220</v>
      </c>
      <c r="L41" t="s">
        <v>197</v>
      </c>
      <c r="M41">
        <v>17028973</v>
      </c>
      <c r="N41">
        <v>92843</v>
      </c>
      <c r="O41" t="s">
        <v>363</v>
      </c>
      <c r="P41">
        <v>633768210</v>
      </c>
      <c r="Q41">
        <v>10</v>
      </c>
      <c r="R41" t="s">
        <v>363</v>
      </c>
      <c r="S41" t="s">
        <v>561</v>
      </c>
      <c r="T41" s="1" cm="1">
        <f t="array" ref="T41">MAX(IF(('История закупоку BUYER'!$R:$R&gt;0)*('История закупоку BUYER'!$A:$A=Список_товар_API[[#This Row],[Артикул]]),'История закупоку BUYER'!$C:$C))</f>
        <v>45917</v>
      </c>
      <c r="U41" s="35">
        <f>+IFERROR(AVERAGEIFS('История закупоку BUYER'!R:R,'История закупоку BUYER'!A:A,A41,'История закупоку BUYER'!C:C,T41)+Список_товар_API[[#This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41" s="9">
        <f>VLOOKUP(Список_товар_API[[#This Row],[Артикул]],Стоимости_товаров_OZON[],24,0)</f>
        <v>1301</v>
      </c>
      <c r="W41" s="35">
        <f>VLOOKUP(Список_товар_API[[#This Row],[Артикул]],Стоимости_товаров_OZON[],26,0)</f>
        <v>1761</v>
      </c>
      <c r="X41">
        <v>50</v>
      </c>
      <c r="Y41">
        <v>30</v>
      </c>
      <c r="Z41">
        <v>10</v>
      </c>
      <c r="AA41" s="1"/>
      <c r="AB41" s="3"/>
      <c r="AF41" s="3"/>
    </row>
    <row r="42" spans="1:32" x14ac:dyDescent="0.3">
      <c r="A42" t="s">
        <v>169</v>
      </c>
      <c r="E42" t="s">
        <v>238</v>
      </c>
      <c r="F42" t="s">
        <v>169</v>
      </c>
      <c r="G42">
        <v>60</v>
      </c>
      <c r="H42">
        <v>232</v>
      </c>
      <c r="I42">
        <v>168</v>
      </c>
      <c r="J42" t="s">
        <v>196</v>
      </c>
      <c r="K42">
        <v>220</v>
      </c>
      <c r="L42" t="s">
        <v>197</v>
      </c>
      <c r="M42">
        <v>17028973</v>
      </c>
      <c r="N42">
        <v>92843</v>
      </c>
      <c r="O42" t="s">
        <v>483</v>
      </c>
      <c r="P42">
        <v>633768210</v>
      </c>
      <c r="Q42">
        <v>10</v>
      </c>
      <c r="R42" t="s">
        <v>483</v>
      </c>
      <c r="S42" t="s">
        <v>561</v>
      </c>
      <c r="T42" s="1" cm="1">
        <f t="array" ref="T42">MAX(IF(('История закупоку BUYER'!$R:$R&gt;0)*('История закупоку BUYER'!$A:$A=Список_товар_API[[#This Row],[Артикул]]),'История закупоку BUYER'!$C:$C))</f>
        <v>45917</v>
      </c>
      <c r="U42" s="35">
        <f>+IFERROR(AVERAGEIFS('История закупоку BUYER'!R:R,'История закупоку BUYER'!A:A,A42,'История закупоку BUYER'!C:C,T42)+Список_товар_API[[#This Row],[Цена упаковки]]+Список_товар_API[[#This Row],[цена доставки]]+Список_товар_API[[#This Row],[Цена честного знака]],0)</f>
        <v>699.04943796934231</v>
      </c>
      <c r="V42" s="9">
        <f>VLOOKUP(Список_товар_API[[#This Row],[Артикул]],Стоимости_товаров_OZON[],24,0)</f>
        <v>1773</v>
      </c>
      <c r="W42" s="35">
        <f>VLOOKUP(Список_товар_API[[#This Row],[Артикул]],Стоимости_товаров_OZON[],26,0)</f>
        <v>2380</v>
      </c>
      <c r="X42">
        <v>50</v>
      </c>
      <c r="Y42">
        <v>30</v>
      </c>
      <c r="Z42">
        <v>10</v>
      </c>
      <c r="AB42" s="3"/>
      <c r="AF42" s="3"/>
    </row>
    <row r="43" spans="1:32" x14ac:dyDescent="0.3">
      <c r="A43" t="s">
        <v>170</v>
      </c>
      <c r="E43" t="s">
        <v>240</v>
      </c>
      <c r="F43" t="s">
        <v>170</v>
      </c>
      <c r="G43">
        <v>60</v>
      </c>
      <c r="H43">
        <v>232</v>
      </c>
      <c r="I43">
        <v>168</v>
      </c>
      <c r="J43" t="s">
        <v>196</v>
      </c>
      <c r="K43">
        <v>220</v>
      </c>
      <c r="L43" t="s">
        <v>197</v>
      </c>
      <c r="M43">
        <v>17028973</v>
      </c>
      <c r="N43">
        <v>92843</v>
      </c>
      <c r="O43" t="s">
        <v>364</v>
      </c>
      <c r="P43">
        <v>633768210</v>
      </c>
      <c r="Q43">
        <v>10</v>
      </c>
      <c r="R43" t="s">
        <v>364</v>
      </c>
      <c r="S43" t="s">
        <v>561</v>
      </c>
      <c r="T43" s="1" cm="1">
        <f t="array" ref="T43">MAX(IF(('История закупоку BUYER'!$R:$R&gt;0)*('История закупоку BUYER'!$A:$A=Список_товар_API[[#This Row],[Артикул]]),'История закупоку BUYER'!$C:$C))</f>
        <v>45917</v>
      </c>
      <c r="U43" s="35">
        <f>+IFERROR(AVERAGEIFS('История закупоку BUYER'!R:R,'История закупоку BUYER'!A:A,A43,'История закупоку BUYER'!C:C,T43)+Список_товар_API[[#This Row],[Цена упаковки]]+Список_товар_API[[#This Row],[цена доставки]]+Список_товар_API[[#This Row],[Цена честного знака]],0)</f>
        <v>699.04943796934231</v>
      </c>
      <c r="V43" s="9">
        <f>VLOOKUP(Список_товар_API[[#This Row],[Артикул]],Стоимости_товаров_OZON[],24,0)</f>
        <v>1773</v>
      </c>
      <c r="W43" s="35">
        <f>VLOOKUP(Список_товар_API[[#This Row],[Артикул]],Стоимости_товаров_OZON[],26,0)</f>
        <v>2380</v>
      </c>
      <c r="X43">
        <v>50</v>
      </c>
      <c r="Y43">
        <v>30</v>
      </c>
      <c r="Z43">
        <v>10</v>
      </c>
      <c r="AB43" s="3"/>
      <c r="AF43" s="3"/>
    </row>
    <row r="44" spans="1:32" x14ac:dyDescent="0.3">
      <c r="A44" t="s">
        <v>171</v>
      </c>
      <c r="E44" t="s">
        <v>242</v>
      </c>
      <c r="F44" t="s">
        <v>171</v>
      </c>
      <c r="G44">
        <v>60</v>
      </c>
      <c r="H44">
        <v>240</v>
      </c>
      <c r="I44">
        <v>104</v>
      </c>
      <c r="J44" t="s">
        <v>196</v>
      </c>
      <c r="K44">
        <v>220</v>
      </c>
      <c r="L44" t="s">
        <v>197</v>
      </c>
      <c r="M44">
        <v>17028973</v>
      </c>
      <c r="N44">
        <v>92843</v>
      </c>
      <c r="O44" t="s">
        <v>365</v>
      </c>
      <c r="P44">
        <v>633768210</v>
      </c>
      <c r="Q44">
        <v>10</v>
      </c>
      <c r="R44" t="s">
        <v>365</v>
      </c>
      <c r="S44" t="s">
        <v>561</v>
      </c>
      <c r="T44" s="1" cm="1">
        <f t="array" ref="T44">MAX(IF(('История закупоку BUYER'!$R:$R&gt;0)*('История закупоку BUYER'!$A:$A=Список_товар_API[[#This Row],[Артикул]]),'История закупоку BUYER'!$C:$C))</f>
        <v>45748</v>
      </c>
      <c r="U44" s="35">
        <f>+IFERROR(AVERAGEIFS('История закупоку BUYER'!R:R,'История закупоку BUYER'!A:A,A44,'История закупоку BUYER'!C:C,T44)+Список_товар_API[[#This Row],[Цена упаковки]]+Список_товар_API[[#This Row],[цена доставки]]+Список_товар_API[[#This Row],[Цена честного знака]],0)</f>
        <v>505.84004371257487</v>
      </c>
      <c r="V44" s="9">
        <f>VLOOKUP(Список_товар_API[[#This Row],[Артикул]],Стоимости_товаров_OZON[],24,0)</f>
        <v>1314</v>
      </c>
      <c r="W44" s="35">
        <f>VLOOKUP(Список_товар_API[[#This Row],[Артикул]],Стоимости_товаров_OZON[],26,0)</f>
        <v>1779</v>
      </c>
      <c r="X44">
        <v>50</v>
      </c>
      <c r="Y44">
        <v>30</v>
      </c>
      <c r="Z44">
        <v>10</v>
      </c>
      <c r="AB44" s="3"/>
      <c r="AF44" s="3"/>
    </row>
    <row r="45" spans="1:32" x14ac:dyDescent="0.3">
      <c r="A45" t="s">
        <v>172</v>
      </c>
      <c r="E45" t="s">
        <v>244</v>
      </c>
      <c r="F45" t="s">
        <v>172</v>
      </c>
      <c r="G45">
        <v>60</v>
      </c>
      <c r="H45">
        <v>240</v>
      </c>
      <c r="I45">
        <v>104</v>
      </c>
      <c r="J45" t="s">
        <v>196</v>
      </c>
      <c r="K45">
        <v>220</v>
      </c>
      <c r="L45" t="s">
        <v>197</v>
      </c>
      <c r="M45">
        <v>17028973</v>
      </c>
      <c r="N45">
        <v>92843</v>
      </c>
      <c r="O45" t="s">
        <v>366</v>
      </c>
      <c r="P45">
        <v>633768210</v>
      </c>
      <c r="Q45">
        <v>10</v>
      </c>
      <c r="R45" t="s">
        <v>366</v>
      </c>
      <c r="S45" t="s">
        <v>561</v>
      </c>
      <c r="T45" s="1" cm="1">
        <f t="array" ref="T45">MAX(IF(('История закупоку BUYER'!$R:$R&gt;0)*('История закупоку BUYER'!$A:$A=Список_товар_API[[#This Row],[Артикул]]),'История закупоку BUYER'!$C:$C))</f>
        <v>45917</v>
      </c>
      <c r="U45" s="35">
        <f>+IFERROR(AVERAGEIFS('История закупоку BUYER'!R:R,'История закупоку BUYER'!A:A,A45,'История закупоку BUYER'!C:C,T45)+Список_товар_API[[#This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45" s="9">
        <f>VLOOKUP(Список_товар_API[[#This Row],[Артикул]],Стоимости_товаров_OZON[],24,0)</f>
        <v>1280</v>
      </c>
      <c r="W45" s="35">
        <f>VLOOKUP(Список_товар_API[[#This Row],[Артикул]],Стоимости_товаров_OZON[],26,0)</f>
        <v>1724</v>
      </c>
      <c r="X45">
        <v>50</v>
      </c>
      <c r="Y45">
        <v>30</v>
      </c>
      <c r="Z45">
        <v>10</v>
      </c>
      <c r="AB45" s="3"/>
      <c r="AF45" s="3"/>
    </row>
    <row r="46" spans="1:32" x14ac:dyDescent="0.3">
      <c r="A46" t="s">
        <v>173</v>
      </c>
      <c r="E46" t="s">
        <v>246</v>
      </c>
      <c r="F46" t="s">
        <v>173</v>
      </c>
      <c r="G46">
        <v>60</v>
      </c>
      <c r="H46">
        <v>232</v>
      </c>
      <c r="I46">
        <v>168</v>
      </c>
      <c r="J46" t="s">
        <v>196</v>
      </c>
      <c r="K46">
        <v>220</v>
      </c>
      <c r="L46" t="s">
        <v>197</v>
      </c>
      <c r="M46">
        <v>17028973</v>
      </c>
      <c r="N46">
        <v>92843</v>
      </c>
      <c r="O46" t="s">
        <v>484</v>
      </c>
      <c r="P46">
        <v>633768210</v>
      </c>
      <c r="Q46">
        <v>10</v>
      </c>
      <c r="R46" t="s">
        <v>484</v>
      </c>
      <c r="S46" t="s">
        <v>561</v>
      </c>
      <c r="T46" s="1" cm="1">
        <f t="array" ref="T46">MAX(IF(('История закупоку BUYER'!$R:$R&gt;0)*('История закупоку BUYER'!$A:$A=Список_товар_API[[#This Row],[Артикул]]),'История закупоку BUYER'!$C:$C))</f>
        <v>45917</v>
      </c>
      <c r="U46" s="35">
        <f>+IFERROR(AVERAGEIFS('История закупоку BUYER'!R:R,'История закупоку BUYER'!A:A,A46,'История закупоку BUYER'!C:C,T46)+Список_товар_API[[#This Row],[Цена упаковки]]+Список_товар_API[[#This Row],[цена доставки]]+Список_товар_API[[#This Row],[Цена честного знака]],0)</f>
        <v>699.04943796934231</v>
      </c>
      <c r="V46" s="9">
        <f>VLOOKUP(Список_товар_API[[#This Row],[Артикул]],Стоимости_товаров_OZON[],24,0)</f>
        <v>1773</v>
      </c>
      <c r="W46" s="35">
        <f>VLOOKUP(Список_товар_API[[#This Row],[Артикул]],Стоимости_товаров_OZON[],26,0)</f>
        <v>2380</v>
      </c>
      <c r="X46">
        <v>50</v>
      </c>
      <c r="Y46">
        <v>30</v>
      </c>
      <c r="Z46">
        <v>10</v>
      </c>
      <c r="AB46" s="3"/>
      <c r="AF46" s="3"/>
    </row>
    <row r="47" spans="1:32" x14ac:dyDescent="0.3">
      <c r="A47" t="s">
        <v>174</v>
      </c>
      <c r="E47" t="s">
        <v>403</v>
      </c>
      <c r="F47" t="s">
        <v>174</v>
      </c>
      <c r="G47">
        <v>90</v>
      </c>
      <c r="H47">
        <v>300</v>
      </c>
      <c r="I47">
        <v>80</v>
      </c>
      <c r="J47" t="s">
        <v>196</v>
      </c>
      <c r="K47">
        <v>400</v>
      </c>
      <c r="L47" t="s">
        <v>197</v>
      </c>
      <c r="M47">
        <v>17028973</v>
      </c>
      <c r="N47">
        <v>92843</v>
      </c>
      <c r="O47" t="s">
        <v>404</v>
      </c>
      <c r="P47">
        <v>623372162</v>
      </c>
      <c r="Q47">
        <v>10</v>
      </c>
      <c r="R47" t="s">
        <v>404</v>
      </c>
      <c r="S47" t="s">
        <v>561</v>
      </c>
      <c r="T47" s="1" cm="1">
        <f t="array" ref="T47">MAX(IF(('История закупоку BUYER'!$R:$R&gt;0)*('История закупоку BUYER'!$A:$A=Список_товар_API[[#This Row],[Артикул]]),'История закупоку BUYER'!$C:$C))</f>
        <v>45917</v>
      </c>
      <c r="U47" s="35">
        <f>+IFERROR(AVERAGEIFS('История закупоку BUYER'!R:R,'История закупоку BUYER'!A:A,A47,'История закупоку BUYER'!C:C,T47)+Список_товар_API[[#This Row],[Цена упаковки]]+Список_товар_API[[#This Row],[цена доставки]]+Список_товар_API[[#This Row],[Цена честного знака]],0)</f>
        <v>764.49744630789519</v>
      </c>
      <c r="V47" s="9">
        <f>VLOOKUP(Список_товар_API[[#This Row],[Артикул]],Стоимости_товаров_OZON[],24,0)</f>
        <v>1860</v>
      </c>
      <c r="W47" s="35">
        <f>VLOOKUP(Список_товар_API[[#This Row],[Артикул]],Стоимости_товаров_OZON[],26,0)</f>
        <v>2463</v>
      </c>
      <c r="X47">
        <v>50</v>
      </c>
      <c r="Y47">
        <v>30</v>
      </c>
      <c r="Z47">
        <v>10</v>
      </c>
      <c r="AB47" s="3"/>
      <c r="AF47" s="3"/>
    </row>
    <row r="48" spans="1:32" x14ac:dyDescent="0.3">
      <c r="A48" t="s">
        <v>175</v>
      </c>
      <c r="E48" t="s">
        <v>405</v>
      </c>
      <c r="F48" t="s">
        <v>175</v>
      </c>
      <c r="G48">
        <v>90</v>
      </c>
      <c r="H48">
        <v>300</v>
      </c>
      <c r="I48">
        <v>80</v>
      </c>
      <c r="J48" t="s">
        <v>196</v>
      </c>
      <c r="K48">
        <v>400</v>
      </c>
      <c r="L48" t="s">
        <v>197</v>
      </c>
      <c r="M48">
        <v>17028973</v>
      </c>
      <c r="N48">
        <v>92843</v>
      </c>
      <c r="O48" t="s">
        <v>406</v>
      </c>
      <c r="P48">
        <v>623372162</v>
      </c>
      <c r="Q48">
        <v>10</v>
      </c>
      <c r="R48" t="s">
        <v>407</v>
      </c>
      <c r="S48" t="s">
        <v>561</v>
      </c>
      <c r="T48" s="1" cm="1">
        <f t="array" ref="T48">MAX(IF(('История закупоку BUYER'!$R:$R&gt;0)*('История закупоку BUYER'!$A:$A=Список_товар_API[[#This Row],[Артикул]]),'История закупоку BUYER'!$C:$C))</f>
        <v>45917</v>
      </c>
      <c r="U48" s="35">
        <f>+IFERROR(AVERAGEIFS('История закупоку BUYER'!R:R,'История закупоку BUYER'!A:A,A48,'История закупоку BUYER'!C:C,T48)+Список_товар_API[[#This Row],[Цена упаковки]]+Список_товар_API[[#This Row],[цена доставки]]+Список_товар_API[[#This Row],[Цена честного знака]],0)</f>
        <v>913.69552630789508</v>
      </c>
      <c r="V48" s="9">
        <f>VLOOKUP(Список_товар_API[[#This Row],[Артикул]],Стоимости_товаров_OZON[],24,0)</f>
        <v>2182</v>
      </c>
      <c r="W48" s="35">
        <f>VLOOKUP(Список_товар_API[[#This Row],[Артикул]],Стоимости_товаров_OZON[],26,0)</f>
        <v>2872</v>
      </c>
      <c r="X48">
        <v>50</v>
      </c>
      <c r="Y48">
        <v>30</v>
      </c>
      <c r="Z48">
        <v>10</v>
      </c>
      <c r="AB48" s="3"/>
    </row>
    <row r="49" spans="1:28" x14ac:dyDescent="0.3">
      <c r="A49" t="s">
        <v>176</v>
      </c>
      <c r="E49" t="s">
        <v>408</v>
      </c>
      <c r="F49" t="s">
        <v>176</v>
      </c>
      <c r="G49">
        <v>90</v>
      </c>
      <c r="H49">
        <v>300</v>
      </c>
      <c r="I49">
        <v>80</v>
      </c>
      <c r="J49" t="s">
        <v>196</v>
      </c>
      <c r="K49">
        <v>400</v>
      </c>
      <c r="L49" t="s">
        <v>197</v>
      </c>
      <c r="M49">
        <v>17028973</v>
      </c>
      <c r="N49">
        <v>92843</v>
      </c>
      <c r="O49" t="s">
        <v>409</v>
      </c>
      <c r="P49">
        <v>623372162</v>
      </c>
      <c r="Q49">
        <v>10</v>
      </c>
      <c r="R49" t="s">
        <v>409</v>
      </c>
      <c r="S49" t="s">
        <v>561</v>
      </c>
      <c r="T49" s="1" cm="1">
        <f t="array" ref="T49">MAX(IF(('История закупоку BUYER'!$R:$R&gt;0)*('История закупоку BUYER'!$A:$A=Список_товар_API[[#This Row],[Артикул]]),'История закупоку BUYER'!$C:$C))</f>
        <v>45917</v>
      </c>
      <c r="U49" s="35">
        <f>+IFERROR(AVERAGEIFS('История закупоку BUYER'!R:R,'История закупоку BUYER'!A:A,A49,'История закупоку BUYER'!C:C,T49)+Список_товар_API[[#This Row],[Цена упаковки]]+Список_товар_API[[#This Row],[цена доставки]]+Список_товар_API[[#This Row],[Цена честного знака]],0)</f>
        <v>764.49744630789519</v>
      </c>
      <c r="V49" s="9">
        <f>VLOOKUP(Список_товар_API[[#This Row],[Артикул]],Стоимости_товаров_OZON[],24,0)</f>
        <v>1860</v>
      </c>
      <c r="W49" s="35">
        <f>VLOOKUP(Список_товар_API[[#This Row],[Артикул]],Стоимости_товаров_OZON[],26,0)</f>
        <v>2463</v>
      </c>
      <c r="X49">
        <v>50</v>
      </c>
      <c r="Y49">
        <v>30</v>
      </c>
      <c r="Z49">
        <v>10</v>
      </c>
      <c r="AB49" s="3"/>
    </row>
    <row r="50" spans="1:28" x14ac:dyDescent="0.3">
      <c r="A50" t="s">
        <v>178</v>
      </c>
      <c r="E50" t="s">
        <v>410</v>
      </c>
      <c r="F50" t="s">
        <v>178</v>
      </c>
      <c r="G50">
        <v>60</v>
      </c>
      <c r="H50">
        <v>100</v>
      </c>
      <c r="I50">
        <v>100</v>
      </c>
      <c r="J50" t="s">
        <v>196</v>
      </c>
      <c r="K50">
        <v>80</v>
      </c>
      <c r="L50" t="s">
        <v>197</v>
      </c>
      <c r="M50">
        <v>62573858</v>
      </c>
      <c r="N50">
        <v>92952</v>
      </c>
      <c r="O50" t="s">
        <v>411</v>
      </c>
      <c r="P50">
        <v>93905852</v>
      </c>
      <c r="Q50">
        <v>1</v>
      </c>
      <c r="R50" t="s">
        <v>412</v>
      </c>
      <c r="S50" t="s">
        <v>561</v>
      </c>
      <c r="T50" s="1" cm="1">
        <f t="array" ref="T50">MAX(IF(('История закупоку BUYER'!$R:$R&gt;0)*('История закупоку BUYER'!$A:$A=Список_товар_API[[#This Row],[Артикул]]),'История закупоку BUYER'!$C:$C))</f>
        <v>45748</v>
      </c>
      <c r="U50" s="35">
        <f>+IFERROR(AVERAGEIFS('История закупоку BUYER'!R:R,'История закупоку BUYER'!A:A,A50,'История закупоку BUYER'!C:C,T50)+Список_товар_API[[#This Row],[Цена упаковки]]+Список_товар_API[[#This Row],[цена доставки]]+Список_товар_API[[#This Row],[Цена честного знака]],0)</f>
        <v>532.08723862275451</v>
      </c>
      <c r="V50" s="9">
        <f>VLOOKUP(Список_товар_API[[#This Row],[Артикул]],Стоимости_товаров_OZON[],24,0)</f>
        <v>1314</v>
      </c>
      <c r="W50" s="35">
        <f>VLOOKUP(Список_товар_API[[#This Row],[Артикул]],Стоимости_товаров_OZON[],26,0)</f>
        <v>1749</v>
      </c>
      <c r="X50">
        <v>50</v>
      </c>
      <c r="Y50">
        <v>30</v>
      </c>
      <c r="Z50">
        <v>10</v>
      </c>
      <c r="AB50" s="3"/>
    </row>
    <row r="51" spans="1:28" x14ac:dyDescent="0.3">
      <c r="A51" t="s">
        <v>179</v>
      </c>
      <c r="E51" t="s">
        <v>639</v>
      </c>
      <c r="F51" t="s">
        <v>179</v>
      </c>
      <c r="G51">
        <v>40</v>
      </c>
      <c r="H51">
        <v>100</v>
      </c>
      <c r="I51">
        <v>60</v>
      </c>
      <c r="J51" t="s">
        <v>196</v>
      </c>
      <c r="K51">
        <v>140</v>
      </c>
      <c r="L51" t="s">
        <v>197</v>
      </c>
      <c r="M51">
        <v>17028932</v>
      </c>
      <c r="N51">
        <v>91518</v>
      </c>
      <c r="O51" t="s">
        <v>367</v>
      </c>
      <c r="P51">
        <v>616955978</v>
      </c>
      <c r="Q51">
        <v>1</v>
      </c>
      <c r="R51" t="s">
        <v>199</v>
      </c>
      <c r="S51" t="s">
        <v>561</v>
      </c>
      <c r="T51" s="1" cm="1">
        <f t="array" ref="T51">MAX(IF(('История закупоку BUYER'!$R:$R&gt;0)*('История закупоку BUYER'!$A:$A=Список_товар_API[[#This Row],[Артикул]]),'История закупоку BUYER'!$C:$C))</f>
        <v>45835</v>
      </c>
      <c r="U51" s="35">
        <f>+IFERROR(AVERAGEIFS('История закупоку BUYER'!R:R,'История закупоку BUYER'!A:A,A51,'История закупоку BUYER'!C:C,T51)+Список_товар_API[[#This Row],[Цена упаковки]]+Список_товар_API[[#This Row],[цена доставки]]+Список_товар_API[[#This Row],[Цена честного знака]],0)</f>
        <v>4345.1212137981347</v>
      </c>
      <c r="V51" s="9">
        <f>VLOOKUP(Список_товар_API[[#This Row],[Артикул]],Стоимости_товаров_OZON[],24,0)</f>
        <v>11558</v>
      </c>
      <c r="W51" s="35">
        <f>VLOOKUP(Список_товар_API[[#This Row],[Артикул]],Стоимости_товаров_OZON[],26,0)</f>
        <v>15756</v>
      </c>
      <c r="X51">
        <v>50</v>
      </c>
      <c r="Y51">
        <v>30</v>
      </c>
      <c r="Z51">
        <v>10</v>
      </c>
      <c r="AB51" s="3"/>
    </row>
    <row r="52" spans="1:28" x14ac:dyDescent="0.3">
      <c r="A52" t="s">
        <v>359</v>
      </c>
      <c r="E52" t="s">
        <v>361</v>
      </c>
      <c r="F52" t="s">
        <v>359</v>
      </c>
      <c r="G52">
        <v>60</v>
      </c>
      <c r="H52">
        <v>100</v>
      </c>
      <c r="I52">
        <v>100</v>
      </c>
      <c r="J52" t="s">
        <v>196</v>
      </c>
      <c r="K52">
        <v>20</v>
      </c>
      <c r="L52" t="s">
        <v>197</v>
      </c>
      <c r="M52">
        <v>17028973</v>
      </c>
      <c r="N52">
        <v>92843</v>
      </c>
      <c r="O52" t="s">
        <v>362</v>
      </c>
      <c r="P52">
        <v>583828577</v>
      </c>
      <c r="Q52">
        <v>1</v>
      </c>
      <c r="R52" t="s">
        <v>199</v>
      </c>
      <c r="S52" t="s">
        <v>561</v>
      </c>
      <c r="T52" s="1" cm="1">
        <f t="array" ref="T52">MAX(IF(('История закупоку BUYER'!$R:$R&gt;0)*('История закупоку BUYER'!$A:$A=Список_товар_API[[#This Row],[Артикул]]),'История закупоку BUYER'!$C:$C))</f>
        <v>45748</v>
      </c>
      <c r="U52" s="35">
        <f>+IFERROR(AVERAGEIFS('История закупоку BUYER'!R:R,'История закупоку BUYER'!A:A,A52,'История закупоку BUYER'!C:C,T52)+Список_товар_API[[#This Row],[Цена упаковки]]+Список_товар_API[[#This Row],[цена доставки]]+Список_товар_API[[#This Row],[Цена честного знака]],0)</f>
        <v>167.01052215568859</v>
      </c>
      <c r="V52" s="9">
        <f>VLOOKUP(Список_товар_API[[#This Row],[Артикул]],Стоимости_товаров_OZON[],24,0)</f>
        <v>519</v>
      </c>
      <c r="W52" s="35">
        <f>VLOOKUP(Список_товар_API[[#This Row],[Артикул]],Стоимости_товаров_OZON[],26,0)</f>
        <v>753</v>
      </c>
      <c r="X52">
        <v>50</v>
      </c>
      <c r="Y52">
        <v>30</v>
      </c>
      <c r="Z52">
        <v>10</v>
      </c>
      <c r="AB52" s="3"/>
    </row>
    <row r="53" spans="1:28" x14ac:dyDescent="0.3">
      <c r="A53" t="s">
        <v>368</v>
      </c>
      <c r="E53" t="s">
        <v>413</v>
      </c>
      <c r="F53" t="s">
        <v>368</v>
      </c>
      <c r="G53">
        <v>600</v>
      </c>
      <c r="H53">
        <v>870</v>
      </c>
      <c r="I53">
        <v>240</v>
      </c>
      <c r="J53" t="s">
        <v>196</v>
      </c>
      <c r="K53">
        <v>16000</v>
      </c>
      <c r="L53" t="s">
        <v>197</v>
      </c>
      <c r="M53">
        <v>17028926</v>
      </c>
      <c r="N53">
        <v>91494</v>
      </c>
      <c r="O53" t="s">
        <v>414</v>
      </c>
      <c r="P53">
        <v>347166279</v>
      </c>
      <c r="Q53">
        <v>1</v>
      </c>
      <c r="R53" t="s">
        <v>199</v>
      </c>
      <c r="S53" t="s">
        <v>561</v>
      </c>
      <c r="T53" s="1" cm="1">
        <f t="array" ref="T53">MAX(IF(('История закупоку BUYER'!$R:$R&gt;0)*('История закупоку BUYER'!$A:$A=Список_товар_API[[#This Row],[Артикул]]),'История закупоку BUYER'!$C:$C))</f>
        <v>45748</v>
      </c>
      <c r="U53" s="35">
        <f>+IFERROR(AVERAGEIFS('История закупоку BUYER'!R:R,'История закупоку BUYER'!A:A,A53,'История закупоку BUYER'!C:C,T53)+Список_товар_API[[#This Row],[Цена упаковки]]+Список_товар_API[[#This Row],[цена доставки]]+Список_товар_API[[#This Row],[Цена честного знака]],0)</f>
        <v>98810.623900000006</v>
      </c>
      <c r="V53" s="9">
        <f>VLOOKUP(Список_товар_API[[#This Row],[Артикул]],Стоимости_товаров_OZON[],24,0)</f>
        <v>244976</v>
      </c>
      <c r="W53" s="35">
        <f>VLOOKUP(Список_товар_API[[#This Row],[Артикул]],Стоимости_товаров_OZON[],26,0)</f>
        <v>325902</v>
      </c>
      <c r="X53">
        <v>50</v>
      </c>
      <c r="Y53">
        <v>30</v>
      </c>
      <c r="Z53">
        <v>10</v>
      </c>
      <c r="AB53" s="3"/>
    </row>
    <row r="54" spans="1:28" x14ac:dyDescent="0.3">
      <c r="A54" t="s">
        <v>370</v>
      </c>
      <c r="E54" t="s">
        <v>372</v>
      </c>
      <c r="F54" t="s">
        <v>370</v>
      </c>
      <c r="G54">
        <v>100</v>
      </c>
      <c r="H54">
        <v>250</v>
      </c>
      <c r="I54">
        <v>80</v>
      </c>
      <c r="J54" t="s">
        <v>196</v>
      </c>
      <c r="K54">
        <v>250</v>
      </c>
      <c r="L54" t="s">
        <v>197</v>
      </c>
      <c r="M54">
        <v>17028973</v>
      </c>
      <c r="N54">
        <v>92843</v>
      </c>
      <c r="O54" t="s">
        <v>415</v>
      </c>
      <c r="P54">
        <v>358633050</v>
      </c>
      <c r="Q54">
        <v>23</v>
      </c>
      <c r="R54" t="s">
        <v>199</v>
      </c>
      <c r="S54" t="s">
        <v>561</v>
      </c>
      <c r="T54" s="1" cm="1">
        <f t="array" ref="T54">MAX(IF(('История закупоку BUYER'!$R:$R&gt;0)*('История закупоку BUYER'!$A:$A=Список_товар_API[[#This Row],[Артикул]]),'История закупоку BUYER'!$C:$C))</f>
        <v>45917</v>
      </c>
      <c r="U54" s="35">
        <f>+IFERROR(AVERAGEIFS('История закупоку BUYER'!R:R,'История закупоку BUYER'!A:A,A54,'История закупоку BUYER'!C:C,T54)+Список_товар_API[[#This Row],[Цена упаковки]]+Список_товар_API[[#This Row],[цена доставки]]+Список_товар_API[[#This Row],[Цена честного знака]],0)</f>
        <v>394.27139769243445</v>
      </c>
      <c r="V54" s="9">
        <f>VLOOKUP(Список_товар_API[[#This Row],[Артикул]],Стоимости_товаров_OZON[],24,0)</f>
        <v>1061</v>
      </c>
      <c r="W54" s="35">
        <f>VLOOKUP(Список_товар_API[[#This Row],[Артикул]],Стоимости_товаров_OZON[],26,0)</f>
        <v>1454</v>
      </c>
      <c r="X54">
        <v>50</v>
      </c>
      <c r="Y54">
        <v>30</v>
      </c>
      <c r="Z54">
        <v>10</v>
      </c>
      <c r="AB54" s="3"/>
    </row>
    <row r="55" spans="1:28" x14ac:dyDescent="0.3">
      <c r="A55" t="s">
        <v>373</v>
      </c>
      <c r="E55" t="s">
        <v>375</v>
      </c>
      <c r="F55" t="s">
        <v>373</v>
      </c>
      <c r="G55">
        <v>10</v>
      </c>
      <c r="H55">
        <v>120</v>
      </c>
      <c r="I55">
        <v>60</v>
      </c>
      <c r="J55" t="s">
        <v>196</v>
      </c>
      <c r="K55">
        <v>23</v>
      </c>
      <c r="L55" t="s">
        <v>197</v>
      </c>
      <c r="M55">
        <v>17028626</v>
      </c>
      <c r="N55">
        <v>91431</v>
      </c>
      <c r="O55" t="s">
        <v>376</v>
      </c>
      <c r="P55">
        <v>159973334</v>
      </c>
      <c r="Q55">
        <v>3</v>
      </c>
      <c r="R55" t="s">
        <v>199</v>
      </c>
      <c r="S55" t="s">
        <v>561</v>
      </c>
      <c r="T55" s="1" cm="1">
        <f t="array" ref="T55">MAX(IF(('История закупоку BUYER'!$R:$R&gt;0)*('История закупоку BUYER'!$A:$A=Список_товар_API[[#This Row],[Артикул]]),'История закупоку BUYER'!$C:$C))</f>
        <v>45772</v>
      </c>
      <c r="U55" s="35">
        <f>+IFERROR(AVERAGEIFS('История закупоку BUYER'!R:R,'История закупоку BUYER'!A:A,A55,'История закупоку BUYER'!C:C,T55)+Список_товар_API[[#This Row],[Цена упаковки]]+Список_товар_API[[#This Row],[цена доставки]]+Список_товар_API[[#This Row],[Цена честного знака]],0)</f>
        <v>4262.7272836593784</v>
      </c>
      <c r="V55" s="9">
        <f>VLOOKUP(Список_товар_API[[#This Row],[Артикул]],Стоимости_товаров_OZON[],24,0)</f>
        <v>11174</v>
      </c>
      <c r="W55" s="35">
        <f>VLOOKUP(Список_товар_API[[#This Row],[Артикул]],Стоимости_товаров_OZON[],26,0)</f>
        <v>15152</v>
      </c>
      <c r="X55">
        <v>50</v>
      </c>
      <c r="Y55">
        <v>30</v>
      </c>
      <c r="Z55">
        <v>10</v>
      </c>
      <c r="AB55" s="3"/>
    </row>
    <row r="56" spans="1:28" x14ac:dyDescent="0.3">
      <c r="A56" t="s">
        <v>377</v>
      </c>
      <c r="E56" t="s">
        <v>387</v>
      </c>
      <c r="F56" t="s">
        <v>377</v>
      </c>
      <c r="G56">
        <v>10</v>
      </c>
      <c r="H56">
        <v>120</v>
      </c>
      <c r="I56">
        <v>60</v>
      </c>
      <c r="J56" t="s">
        <v>196</v>
      </c>
      <c r="K56">
        <v>23</v>
      </c>
      <c r="L56" t="s">
        <v>197</v>
      </c>
      <c r="M56">
        <v>17028626</v>
      </c>
      <c r="N56">
        <v>91431</v>
      </c>
      <c r="O56" t="s">
        <v>376</v>
      </c>
      <c r="P56">
        <v>159973334</v>
      </c>
      <c r="Q56">
        <v>3</v>
      </c>
      <c r="R56" t="s">
        <v>199</v>
      </c>
      <c r="S56" t="s">
        <v>561</v>
      </c>
      <c r="T56" s="1" cm="1">
        <f t="array" ref="T56">MAX(IF(('История закупоку BUYER'!$R:$R&gt;0)*('История закупоку BUYER'!$A:$A=Список_товар_API[[#This Row],[Артикул]]),'История закупоку BUYER'!$C:$C))</f>
        <v>45772</v>
      </c>
      <c r="U56" s="35">
        <f>+IFERROR(AVERAGEIFS('История закупоку BUYER'!R:R,'История закупоку BUYER'!A:A,A56,'История закупоку BUYER'!C:C,T56)+Список_товар_API[[#This Row],[Цена упаковки]]+Список_товар_API[[#This Row],[цена доставки]]+Список_товар_API[[#This Row],[Цена честного знака]],0)</f>
        <v>2630.873283659379</v>
      </c>
      <c r="V56" s="9">
        <f>VLOOKUP(Список_товар_API[[#This Row],[Артикул]],Стоимости_товаров_OZON[],24,0)</f>
        <v>7256</v>
      </c>
      <c r="W56" s="35">
        <f>VLOOKUP(Список_товар_API[[#This Row],[Артикул]],Стоимости_товаров_OZON[],26,0)</f>
        <v>10024</v>
      </c>
      <c r="X56">
        <v>50</v>
      </c>
      <c r="Y56">
        <v>30</v>
      </c>
      <c r="Z56">
        <v>10</v>
      </c>
      <c r="AB56" s="3"/>
    </row>
    <row r="57" spans="1:28" x14ac:dyDescent="0.3">
      <c r="A57" t="s">
        <v>379</v>
      </c>
      <c r="E57" t="s">
        <v>388</v>
      </c>
      <c r="F57" t="s">
        <v>379</v>
      </c>
      <c r="G57">
        <v>10</v>
      </c>
      <c r="H57">
        <v>120</v>
      </c>
      <c r="I57">
        <v>60</v>
      </c>
      <c r="J57" t="s">
        <v>196</v>
      </c>
      <c r="K57">
        <v>23</v>
      </c>
      <c r="L57" t="s">
        <v>197</v>
      </c>
      <c r="M57">
        <v>17028626</v>
      </c>
      <c r="N57">
        <v>91431</v>
      </c>
      <c r="O57" t="s">
        <v>376</v>
      </c>
      <c r="P57">
        <v>159973334</v>
      </c>
      <c r="Q57">
        <v>3</v>
      </c>
      <c r="R57" t="s">
        <v>199</v>
      </c>
      <c r="S57" t="s">
        <v>561</v>
      </c>
      <c r="T57" s="1" cm="1">
        <f t="array" ref="T57">MAX(IF(('История закупоку BUYER'!$R:$R&gt;0)*('История закупоку BUYER'!$A:$A=Список_товар_API[[#This Row],[Артикул]]),'История закупоку BUYER'!$C:$C))</f>
        <v>45772</v>
      </c>
      <c r="U57" s="35">
        <f>+IFERROR(AVERAGEIFS('История закупоку BUYER'!R:R,'История закупоку BUYER'!A:A,A57,'История закупоку BUYER'!C:C,T57)+Список_товар_API[[#This Row],[Цена упаковки]]+Список_товар_API[[#This Row],[цена доставки]]+Список_товар_API[[#This Row],[Цена честного знака]],0)</f>
        <v>1628.4486836593785</v>
      </c>
      <c r="V57" s="9">
        <f>VLOOKUP(Список_товар_API[[#This Row],[Артикул]],Стоимости_товаров_OZON[],24,0)</f>
        <v>4557</v>
      </c>
      <c r="W57" s="35">
        <f>VLOOKUP(Список_товар_API[[#This Row],[Артикул]],Стоимости_товаров_OZON[],26,0)</f>
        <v>6330</v>
      </c>
      <c r="X57">
        <v>50</v>
      </c>
      <c r="Y57">
        <v>30</v>
      </c>
      <c r="Z57">
        <v>10</v>
      </c>
      <c r="AB57" s="3"/>
    </row>
    <row r="58" spans="1:28" x14ac:dyDescent="0.3">
      <c r="A58" t="s">
        <v>381</v>
      </c>
      <c r="E58" t="s">
        <v>416</v>
      </c>
      <c r="F58" t="s">
        <v>381</v>
      </c>
      <c r="G58">
        <v>10</v>
      </c>
      <c r="H58">
        <v>150</v>
      </c>
      <c r="I58">
        <v>130</v>
      </c>
      <c r="J58" t="s">
        <v>196</v>
      </c>
      <c r="K58">
        <v>100</v>
      </c>
      <c r="L58" t="s">
        <v>197</v>
      </c>
      <c r="M58">
        <v>17028626</v>
      </c>
      <c r="N58">
        <v>97984</v>
      </c>
      <c r="O58" t="s">
        <v>383</v>
      </c>
      <c r="P58">
        <v>595282914</v>
      </c>
      <c r="Q58">
        <v>4</v>
      </c>
      <c r="R58" t="s">
        <v>199</v>
      </c>
      <c r="S58" t="s">
        <v>561</v>
      </c>
      <c r="T58" s="1" cm="1">
        <f t="array" ref="T58">MAX(IF(('История закупоку BUYER'!$R:$R&gt;0)*('История закупоку BUYER'!$A:$A=Список_товар_API[[#This Row],[Артикул]]),'История закупоку BUYER'!$C:$C))</f>
        <v>45772</v>
      </c>
      <c r="U58" s="35">
        <f>+IFERROR(AVERAGEIFS('История закупоку BUYER'!R:R,'История закупоку BUYER'!A:A,A58,'История закупоку BUYER'!C:C,T58)+Список_товар_API[[#This Row],[Цена упаковки]]+Список_товар_API[[#This Row],[цена доставки]]+Список_товар_API[[#This Row],[Цена честного знака]],0)</f>
        <v>789.19228112773305</v>
      </c>
      <c r="V58" s="9">
        <f>VLOOKUP(Список_товар_API[[#This Row],[Артикул]],Стоимости_товаров_OZON[],24,0)</f>
        <v>1958</v>
      </c>
      <c r="W58" s="35">
        <f>VLOOKUP(Список_товар_API[[#This Row],[Артикул]],Стоимости_товаров_OZON[],26,0)</f>
        <v>2604</v>
      </c>
      <c r="X58">
        <v>50</v>
      </c>
      <c r="Y58">
        <v>30</v>
      </c>
      <c r="Z58">
        <v>10</v>
      </c>
      <c r="AB58" s="3"/>
    </row>
    <row r="59" spans="1:28" x14ac:dyDescent="0.3">
      <c r="A59" t="s">
        <v>384</v>
      </c>
      <c r="E59" t="s">
        <v>417</v>
      </c>
      <c r="F59" t="s">
        <v>384</v>
      </c>
      <c r="G59">
        <v>10</v>
      </c>
      <c r="H59">
        <v>150</v>
      </c>
      <c r="I59">
        <v>130</v>
      </c>
      <c r="J59" t="s">
        <v>196</v>
      </c>
      <c r="K59">
        <v>100</v>
      </c>
      <c r="L59" t="s">
        <v>197</v>
      </c>
      <c r="M59">
        <v>17028626</v>
      </c>
      <c r="N59">
        <v>97984</v>
      </c>
      <c r="O59" t="s">
        <v>383</v>
      </c>
      <c r="P59">
        <v>595282914</v>
      </c>
      <c r="Q59">
        <v>4</v>
      </c>
      <c r="R59" t="s">
        <v>199</v>
      </c>
      <c r="S59" t="s">
        <v>561</v>
      </c>
      <c r="T59" s="1" cm="1">
        <f t="array" ref="T59">MAX(IF(('История закупоку BUYER'!$R:$R&gt;0)*('История закупоку BUYER'!$A:$A=Список_товар_API[[#This Row],[Артикул]]),'История закупоку BUYER'!$C:$C))</f>
        <v>45772</v>
      </c>
      <c r="U59" s="35">
        <f>+IFERROR(AVERAGEIFS('История закупоку BUYER'!R:R,'История закупоку BUYER'!A:A,A59,'История закупоку BUYER'!C:C,T59)+Список_товар_API[[#This Row],[Цена упаковки]]+Список_товар_API[[#This Row],[цена доставки]]+Список_товар_API[[#This Row],[Цена честного знака]],0)</f>
        <v>1931.4900811277332</v>
      </c>
      <c r="V59" s="9">
        <f>VLOOKUP(Список_товар_API[[#This Row],[Артикул]],Стоимости_товаров_OZON[],24,0)</f>
        <v>4583</v>
      </c>
      <c r="W59" s="35">
        <f>VLOOKUP(Список_товар_API[[#This Row],[Артикул]],Стоимости_товаров_OZON[],26,0)</f>
        <v>6010</v>
      </c>
      <c r="X59">
        <v>50</v>
      </c>
      <c r="Y59">
        <v>30</v>
      </c>
      <c r="Z59">
        <v>10</v>
      </c>
      <c r="AB59" s="3"/>
    </row>
    <row r="60" spans="1:28" x14ac:dyDescent="0.3">
      <c r="A60" t="s">
        <v>385</v>
      </c>
      <c r="E60" t="s">
        <v>418</v>
      </c>
      <c r="F60" t="s">
        <v>385</v>
      </c>
      <c r="G60">
        <v>10</v>
      </c>
      <c r="H60">
        <v>150</v>
      </c>
      <c r="I60">
        <v>130</v>
      </c>
      <c r="J60" t="s">
        <v>196</v>
      </c>
      <c r="K60">
        <v>100</v>
      </c>
      <c r="L60" t="s">
        <v>197</v>
      </c>
      <c r="M60">
        <v>17028626</v>
      </c>
      <c r="N60">
        <v>97984</v>
      </c>
      <c r="O60" t="s">
        <v>383</v>
      </c>
      <c r="P60">
        <v>595282914</v>
      </c>
      <c r="Q60">
        <v>4</v>
      </c>
      <c r="R60" t="s">
        <v>199</v>
      </c>
      <c r="S60" t="s">
        <v>561</v>
      </c>
      <c r="T60" s="1" cm="1">
        <f t="array" ref="T60">MAX(IF(('История закупоку BUYER'!$R:$R&gt;0)*('История закупоку BUYER'!$A:$A=Список_товар_API[[#This Row],[Артикул]]),'История закупоку BUYER'!$C:$C))</f>
        <v>45772</v>
      </c>
      <c r="U60" s="35">
        <f>+IFERROR(AVERAGEIFS('История закупоку BUYER'!R:R,'История закупоку BUYER'!A:A,A60,'История закупоку BUYER'!C:C,T60)+Список_товар_API[[#This Row],[Цена упаковки]]+Список_товар_API[[#This Row],[цена доставки]]+Список_товар_API[[#This Row],[Цена честного знака]],0)</f>
        <v>3668.2489811277328</v>
      </c>
      <c r="V60" s="9">
        <f>VLOOKUP(Список_товар_API[[#This Row],[Артикул]],Стоимости_товаров_OZON[],24,0)</f>
        <v>8860</v>
      </c>
      <c r="W60" s="35">
        <f>VLOOKUP(Список_товар_API[[#This Row],[Артикул]],Стоимости_товаров_OZON[],26,0)</f>
        <v>11687</v>
      </c>
      <c r="X60">
        <v>50</v>
      </c>
      <c r="Y60">
        <v>30</v>
      </c>
      <c r="Z60">
        <v>10</v>
      </c>
      <c r="AB60" s="3"/>
    </row>
    <row r="61" spans="1:28" x14ac:dyDescent="0.3">
      <c r="A61" t="s">
        <v>386</v>
      </c>
      <c r="E61" t="s">
        <v>419</v>
      </c>
      <c r="F61" t="s">
        <v>386</v>
      </c>
      <c r="G61">
        <v>10</v>
      </c>
      <c r="H61">
        <v>150</v>
      </c>
      <c r="I61">
        <v>130</v>
      </c>
      <c r="J61" t="s">
        <v>196</v>
      </c>
      <c r="K61">
        <v>100</v>
      </c>
      <c r="L61" t="s">
        <v>197</v>
      </c>
      <c r="M61">
        <v>17028626</v>
      </c>
      <c r="N61">
        <v>97984</v>
      </c>
      <c r="O61" t="s">
        <v>383</v>
      </c>
      <c r="P61">
        <v>595282914</v>
      </c>
      <c r="Q61">
        <v>4</v>
      </c>
      <c r="R61" t="s">
        <v>199</v>
      </c>
      <c r="S61" t="s">
        <v>561</v>
      </c>
      <c r="T61" s="1" cm="1">
        <f t="array" ref="T61">MAX(IF(('История закупоку BUYER'!$R:$R&gt;0)*('История закупоку BUYER'!$A:$A=Список_товар_API[[#This Row],[Артикул]]),'История закупоку BUYER'!$C:$C))</f>
        <v>45835</v>
      </c>
      <c r="U61" s="35">
        <f>+IFERROR(AVERAGEIFS('История закупоку BUYER'!R:R,'История закупоку BUYER'!A:A,A61,'История закупоку BUYER'!C:C,T61)+Список_товар_API[[#This Row],[Цена упаковки]]+Список_товар_API[[#This Row],[цена доставки]]+Список_товар_API[[#This Row],[Цена честного знака]],0)</f>
        <v>677.9710366067942</v>
      </c>
      <c r="V61" s="9">
        <f>VLOOKUP(Список_товар_API[[#This Row],[Артикул]],Стоимости_товаров_OZON[],24,0)</f>
        <v>1702</v>
      </c>
      <c r="W61" s="35">
        <f>VLOOKUP(Список_товар_API[[#This Row],[Артикул]],Стоимости_товаров_OZON[],26,0)</f>
        <v>2272</v>
      </c>
      <c r="X61">
        <v>50</v>
      </c>
      <c r="Y61">
        <v>30</v>
      </c>
      <c r="Z61">
        <v>10</v>
      </c>
      <c r="AB61" s="3"/>
    </row>
    <row r="62" spans="1:28" x14ac:dyDescent="0.3">
      <c r="A62" t="s">
        <v>569</v>
      </c>
      <c r="E62" t="s">
        <v>630</v>
      </c>
      <c r="F62" t="s">
        <v>569</v>
      </c>
      <c r="G62">
        <v>60</v>
      </c>
      <c r="H62">
        <v>240</v>
      </c>
      <c r="I62">
        <v>104</v>
      </c>
      <c r="J62" t="s">
        <v>196</v>
      </c>
      <c r="K62">
        <v>220</v>
      </c>
      <c r="L62" t="s">
        <v>197</v>
      </c>
      <c r="M62">
        <v>17028973</v>
      </c>
      <c r="N62">
        <v>92843</v>
      </c>
      <c r="O62" t="s">
        <v>640</v>
      </c>
      <c r="P62">
        <v>682658330</v>
      </c>
      <c r="Q62">
        <v>4</v>
      </c>
      <c r="R62" t="s">
        <v>641</v>
      </c>
      <c r="S62" t="s">
        <v>561</v>
      </c>
      <c r="T62" s="1" cm="1">
        <f t="array" ref="T62">MAX(IF(('История закупоку BUYER'!$R:$R&gt;0)*('История закупоку BUYER'!$A:$A=Список_товар_API[[#This Row],[Артикул]]),'История закупоку BUYER'!$C:$C))</f>
        <v>45917</v>
      </c>
      <c r="U62" s="35">
        <f>+IFERROR(AVERAGEIFS('История закупоку BUYER'!R:R,'История закупоку BUYER'!A:A,A62,'История закупоку BUYER'!C:C,T62)+Список_товар_API[[#This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62" s="9">
        <f>VLOOKUP(Список_товар_API[[#This Row],[Артикул]],Стоимости_товаров_OZON[],24,0)</f>
        <v>1301</v>
      </c>
      <c r="W62" s="35">
        <f>VLOOKUP(Список_товар_API[[#This Row],[Артикул]],Стоимости_товаров_OZON[],26,0)</f>
        <v>1761</v>
      </c>
      <c r="X62">
        <v>50</v>
      </c>
      <c r="Y62">
        <v>30</v>
      </c>
      <c r="Z62">
        <v>10</v>
      </c>
      <c r="AB62" s="3"/>
    </row>
    <row r="63" spans="1:28" x14ac:dyDescent="0.3">
      <c r="A63" t="s">
        <v>572</v>
      </c>
      <c r="E63" t="s">
        <v>627</v>
      </c>
      <c r="F63" t="s">
        <v>572</v>
      </c>
      <c r="G63">
        <v>60</v>
      </c>
      <c r="H63">
        <v>240</v>
      </c>
      <c r="I63">
        <v>104</v>
      </c>
      <c r="J63" t="s">
        <v>196</v>
      </c>
      <c r="K63">
        <v>220</v>
      </c>
      <c r="L63" t="s">
        <v>197</v>
      </c>
      <c r="M63">
        <v>17028973</v>
      </c>
      <c r="N63">
        <v>92843</v>
      </c>
      <c r="O63" t="s">
        <v>642</v>
      </c>
      <c r="P63">
        <v>682658330</v>
      </c>
      <c r="Q63">
        <v>4</v>
      </c>
      <c r="R63" t="s">
        <v>643</v>
      </c>
      <c r="S63" t="s">
        <v>561</v>
      </c>
      <c r="T63" s="1" cm="1">
        <f t="array" ref="T63">MAX(IF(('История закупоку BUYER'!$R:$R&gt;0)*('История закупоку BUYER'!$A:$A=Список_товар_API[[#This Row],[Артикул]]),'История закупоку BUYER'!$C:$C))</f>
        <v>45917</v>
      </c>
      <c r="U63" s="35">
        <f>+IFERROR(AVERAGEIFS('История закупоку BUYER'!R:R,'История закупоку BUYER'!A:A,A63,'История закупоку BUYER'!C:C,T63)+Список_товар_API[[#This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63" s="9">
        <f>VLOOKUP(Список_товар_API[[#This Row],[Артикул]],Стоимости_товаров_OZON[],24,0)</f>
        <v>1301</v>
      </c>
      <c r="W63" s="35">
        <f>VLOOKUP(Список_товар_API[[#This Row],[Артикул]],Стоимости_товаров_OZON[],26,0)</f>
        <v>1761</v>
      </c>
      <c r="X63">
        <v>50</v>
      </c>
      <c r="Y63">
        <v>30</v>
      </c>
      <c r="Z63">
        <v>10</v>
      </c>
      <c r="AB63" s="3"/>
    </row>
    <row r="64" spans="1:28" x14ac:dyDescent="0.3">
      <c r="A64" t="s">
        <v>568</v>
      </c>
      <c r="E64" t="s">
        <v>633</v>
      </c>
      <c r="F64" t="s">
        <v>568</v>
      </c>
      <c r="G64">
        <v>60</v>
      </c>
      <c r="H64">
        <v>240</v>
      </c>
      <c r="I64">
        <v>104</v>
      </c>
      <c r="J64" t="s">
        <v>196</v>
      </c>
      <c r="K64">
        <v>220</v>
      </c>
      <c r="L64" t="s">
        <v>197</v>
      </c>
      <c r="M64">
        <v>17028973</v>
      </c>
      <c r="N64">
        <v>92843</v>
      </c>
      <c r="O64" t="s">
        <v>644</v>
      </c>
      <c r="P64">
        <v>682658330</v>
      </c>
      <c r="Q64">
        <v>4</v>
      </c>
      <c r="R64" t="s">
        <v>645</v>
      </c>
      <c r="S64" t="s">
        <v>561</v>
      </c>
      <c r="T64" s="1" cm="1">
        <f t="array" ref="T64">MAX(IF(('История закупоку BUYER'!$R:$R&gt;0)*('История закупоку BUYER'!$A:$A=Список_товар_API[[#This Row],[Артикул]]),'История закупоку BUYER'!$C:$C))</f>
        <v>45917</v>
      </c>
      <c r="U64" s="35">
        <f>+IFERROR(AVERAGEIFS('История закупоку BUYER'!R:R,'История закупоку BUYER'!A:A,A64,'История закупоку BUYER'!C:C,T64)+Список_товар_API[[#This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64" s="9">
        <f>VLOOKUP(Список_товар_API[[#This Row],[Артикул]],Стоимости_товаров_OZON[],24,0)</f>
        <v>1301</v>
      </c>
      <c r="W64" s="35">
        <f>VLOOKUP(Список_товар_API[[#This Row],[Артикул]],Стоимости_товаров_OZON[],26,0)</f>
        <v>1761</v>
      </c>
      <c r="X64">
        <v>50</v>
      </c>
      <c r="Y64">
        <v>30</v>
      </c>
      <c r="Z64">
        <v>10</v>
      </c>
      <c r="AB64" s="3"/>
    </row>
    <row r="65" spans="1:28" x14ac:dyDescent="0.3">
      <c r="A65" t="s">
        <v>577</v>
      </c>
      <c r="E65" t="s">
        <v>631</v>
      </c>
      <c r="F65" t="s">
        <v>577</v>
      </c>
      <c r="G65">
        <v>60</v>
      </c>
      <c r="H65">
        <v>240</v>
      </c>
      <c r="I65">
        <v>104</v>
      </c>
      <c r="J65" t="s">
        <v>196</v>
      </c>
      <c r="K65">
        <v>220</v>
      </c>
      <c r="L65" t="s">
        <v>197</v>
      </c>
      <c r="M65">
        <v>17028973</v>
      </c>
      <c r="N65">
        <v>92843</v>
      </c>
      <c r="O65" t="s">
        <v>646</v>
      </c>
      <c r="P65">
        <v>682658330</v>
      </c>
      <c r="Q65">
        <v>4</v>
      </c>
      <c r="R65" t="s">
        <v>647</v>
      </c>
      <c r="S65" t="s">
        <v>561</v>
      </c>
      <c r="T65" s="1" cm="1">
        <f t="array" ref="T65">MAX(IF(('История закупоку BUYER'!$R:$R&gt;0)*('История закупоку BUYER'!$A:$A=Список_товар_API[[#This Row],[Артикул]]),'История закупоку BUYER'!$C:$C))</f>
        <v>45917</v>
      </c>
      <c r="U65" s="35">
        <f>+IFERROR(AVERAGEIFS('История закупоку BUYER'!R:R,'История закупоку BUYER'!A:A,A65,'История закупоку BUYER'!C:C,T65)+Список_товар_API[[#This Row],[Цена упаковки]]+Список_товар_API[[#This Row],[цена доставки]]+Список_товар_API[[#This Row],[Цена честного знака]],0)</f>
        <v>500.89573796934235</v>
      </c>
      <c r="V65" s="9">
        <f>VLOOKUP(Список_товар_API[[#This Row],[Артикул]],Стоимости_товаров_OZON[],24,0)</f>
        <v>1301</v>
      </c>
      <c r="W65" s="35">
        <f>VLOOKUP(Список_товар_API[[#This Row],[Артикул]],Стоимости_товаров_OZON[],26,0)</f>
        <v>1761</v>
      </c>
      <c r="X65">
        <v>50</v>
      </c>
      <c r="Y65">
        <v>30</v>
      </c>
      <c r="Z65">
        <v>10</v>
      </c>
      <c r="AB65" s="3"/>
    </row>
    <row r="66" spans="1:28" x14ac:dyDescent="0.3">
      <c r="A66" t="s">
        <v>581</v>
      </c>
      <c r="E66" t="s">
        <v>583</v>
      </c>
      <c r="F66" t="s">
        <v>581</v>
      </c>
      <c r="G66">
        <v>90</v>
      </c>
      <c r="H66">
        <v>300</v>
      </c>
      <c r="I66">
        <v>80</v>
      </c>
      <c r="J66" t="s">
        <v>196</v>
      </c>
      <c r="K66">
        <v>400</v>
      </c>
      <c r="L66" t="s">
        <v>197</v>
      </c>
      <c r="M66">
        <v>17028973</v>
      </c>
      <c r="N66">
        <v>92843</v>
      </c>
      <c r="O66" t="s">
        <v>648</v>
      </c>
      <c r="P66">
        <v>623372162</v>
      </c>
      <c r="Q66">
        <v>10</v>
      </c>
      <c r="R66" t="s">
        <v>648</v>
      </c>
      <c r="S66" t="s">
        <v>561</v>
      </c>
      <c r="T66" s="1" cm="1">
        <f t="array" ref="T66">MAX(IF(('История закупоку BUYER'!$R:$R&gt;0)*('История закупоку BUYER'!$A:$A=Список_товар_API[[#This Row],[Артикул]]),'История закупоку BUYER'!$C:$C))</f>
        <v>45917</v>
      </c>
      <c r="U66" s="35">
        <f>+IFERROR(AVERAGEIFS('История закупоку BUYER'!R:R,'История закупоку BUYER'!A:A,A66,'История закупоку BUYER'!C:C,T66)+Список_товар_API[[#This Row],[Цена упаковки]]+Список_товар_API[[#This Row],[цена доставки]]+Список_товар_API[[#This Row],[Цена честного знака]],0)</f>
        <v>764.49744630789519</v>
      </c>
      <c r="V66" s="9">
        <f>VLOOKUP(Список_товар_API[[#This Row],[Артикул]],Стоимости_товаров_OZON[],24,0)</f>
        <v>1879</v>
      </c>
      <c r="W66" s="35">
        <f>VLOOKUP(Список_товар_API[[#This Row],[Артикул]],Стоимости_товаров_OZON[],26,0)</f>
        <v>2497</v>
      </c>
      <c r="X66">
        <v>50</v>
      </c>
      <c r="Y66">
        <v>30</v>
      </c>
      <c r="Z66">
        <v>10</v>
      </c>
      <c r="AB66" s="3"/>
    </row>
    <row r="67" spans="1:28" x14ac:dyDescent="0.3">
      <c r="A67" t="s">
        <v>586</v>
      </c>
      <c r="E67" t="s">
        <v>649</v>
      </c>
      <c r="F67" t="s">
        <v>586</v>
      </c>
      <c r="G67">
        <v>60</v>
      </c>
      <c r="H67">
        <v>160</v>
      </c>
      <c r="I67">
        <v>130</v>
      </c>
      <c r="J67" t="s">
        <v>196</v>
      </c>
      <c r="K67">
        <v>400</v>
      </c>
      <c r="L67" t="s">
        <v>197</v>
      </c>
      <c r="M67">
        <v>17029017</v>
      </c>
      <c r="N67">
        <v>91415</v>
      </c>
      <c r="O67" t="s">
        <v>650</v>
      </c>
      <c r="P67">
        <v>849291333</v>
      </c>
      <c r="Q67">
        <v>1</v>
      </c>
      <c r="R67" t="s">
        <v>199</v>
      </c>
      <c r="S67" t="s">
        <v>561</v>
      </c>
      <c r="T67" s="1" cm="1">
        <f t="array" ref="T67">MAX(IF(('История закупоку BUYER'!$R:$R&gt;0)*('История закупоку BUYER'!$A:$A=Список_товар_API[[#This Row],[Артикул]]),'История закупоку BUYER'!$C:$C))</f>
        <v>45835</v>
      </c>
      <c r="U67" s="35">
        <f>+IFERROR(AVERAGEIFS('История закупоку BUYER'!R:R,'История закупоку BUYER'!A:A,A67,'История закупоку BUYER'!C:C,T67)+Список_товар_API[[#This Row],[Цена упаковки]]+Список_товар_API[[#This Row],[цена доставки]]+Список_товар_API[[#This Row],[Цена честного знака]],0)</f>
        <v>1725.7936838785333</v>
      </c>
      <c r="V67" s="9">
        <f>VLOOKUP(Список_товар_API[[#This Row],[Артикул]],Стоимости_товаров_OZON[],24,0)</f>
        <v>4720</v>
      </c>
      <c r="W67" s="35">
        <f>VLOOKUP(Список_товар_API[[#This Row],[Артикул]],Стоимости_товаров_OZON[],26,0)</f>
        <v>6500</v>
      </c>
      <c r="X67">
        <v>50</v>
      </c>
      <c r="Y67">
        <v>30</v>
      </c>
      <c r="Z67">
        <v>10</v>
      </c>
      <c r="AB67" s="3"/>
    </row>
    <row r="68" spans="1:28" x14ac:dyDescent="0.3">
      <c r="A68" t="s">
        <v>603</v>
      </c>
      <c r="E68" t="s">
        <v>651</v>
      </c>
      <c r="F68" t="s">
        <v>603</v>
      </c>
      <c r="G68">
        <v>100</v>
      </c>
      <c r="H68">
        <v>470</v>
      </c>
      <c r="I68">
        <v>400</v>
      </c>
      <c r="J68" t="s">
        <v>196</v>
      </c>
      <c r="K68">
        <v>1050</v>
      </c>
      <c r="L68" t="s">
        <v>197</v>
      </c>
      <c r="M68">
        <v>17028973</v>
      </c>
      <c r="N68">
        <v>92843</v>
      </c>
      <c r="O68" t="s">
        <v>595</v>
      </c>
      <c r="P68">
        <v>107961920</v>
      </c>
      <c r="Q68">
        <v>4</v>
      </c>
      <c r="R68" t="s">
        <v>652</v>
      </c>
      <c r="S68" t="s">
        <v>561</v>
      </c>
      <c r="T68" s="1" cm="1">
        <f t="array" ref="T68">MAX(IF(('История закупоку BUYER'!$R:$R&gt;0)*('История закупоку BUYER'!$A:$A=Список_товар_API[[#This Row],[Артикул]]),'История закупоку BUYER'!$C:$C))</f>
        <v>45835</v>
      </c>
      <c r="U68" s="35">
        <f>+IFERROR(AVERAGEIFS('История закупоку BUYER'!R:R,'История закупоку BUYER'!A:A,A68,'История закупоку BUYER'!C:C,T68)+Список_товар_API[[#This Row],[Цена упаковки]]+Список_товар_API[[#This Row],[цена доставки]]+Список_товар_API[[#This Row],[Цена честного знака]],0)</f>
        <v>1044.6771093713392</v>
      </c>
      <c r="V68" s="9">
        <f>VLOOKUP(Список_товар_API[[#This Row],[Артикул]],Стоимости_товаров_OZON[],24,0)</f>
        <v>3065</v>
      </c>
      <c r="W68" s="35">
        <f>VLOOKUP(Список_товар_API[[#This Row],[Артикул]],Стоимости_товаров_OZON[],26,0)</f>
        <v>4346</v>
      </c>
      <c r="X68">
        <v>50</v>
      </c>
      <c r="Y68">
        <v>30</v>
      </c>
      <c r="Z68">
        <v>10</v>
      </c>
      <c r="AB68" s="3"/>
    </row>
    <row r="69" spans="1:28" x14ac:dyDescent="0.3">
      <c r="A69" t="s">
        <v>590</v>
      </c>
      <c r="E69" t="s">
        <v>591</v>
      </c>
      <c r="F69" t="s">
        <v>590</v>
      </c>
      <c r="G69">
        <v>100</v>
      </c>
      <c r="H69">
        <v>500</v>
      </c>
      <c r="I69">
        <v>450</v>
      </c>
      <c r="J69" t="s">
        <v>196</v>
      </c>
      <c r="K69">
        <v>1000</v>
      </c>
      <c r="L69" t="s">
        <v>197</v>
      </c>
      <c r="M69">
        <v>17028973</v>
      </c>
      <c r="N69">
        <v>92843</v>
      </c>
      <c r="O69" t="s">
        <v>226</v>
      </c>
      <c r="P69">
        <v>682733539</v>
      </c>
      <c r="Q69">
        <v>1</v>
      </c>
      <c r="R69" t="s">
        <v>199</v>
      </c>
      <c r="S69" t="s">
        <v>561</v>
      </c>
      <c r="T69" s="1" cm="1">
        <f t="array" ref="T69">MAX(IF(('История закупоку BUYER'!$R:$R&gt;0)*('История закупоку BUYER'!$A:$A=Список_товар_API[[#This Row],[Артикул]]),'История закупоку BUYER'!$C:$C))</f>
        <v>45835</v>
      </c>
      <c r="U69" s="35">
        <f>+IFERROR(AVERAGEIFS('История закупоку BUYER'!R:R,'История закупоку BUYER'!A:A,A69,'История закупоку BUYER'!C:C,T69)+Список_товар_API[[#This Row],[Цена упаковки]]+Список_товар_API[[#This Row],[цена доставки]]+Список_товар_API[[#This Row],[Цена честного знака]],0)</f>
        <v>1283.9581660679423</v>
      </c>
      <c r="V69" s="9">
        <f>VLOOKUP(Список_товар_API[[#This Row],[Артикул]],Стоимости_товаров_OZON[],24,0)</f>
        <v>3760</v>
      </c>
      <c r="W69" s="35">
        <f>VLOOKUP(Список_товар_API[[#This Row],[Артикул]],Стоимости_товаров_OZON[],26,0)</f>
        <v>5330</v>
      </c>
      <c r="X69">
        <v>50</v>
      </c>
      <c r="Y69">
        <v>30</v>
      </c>
      <c r="Z69">
        <v>10</v>
      </c>
      <c r="AB69" s="3"/>
    </row>
    <row r="70" spans="1:28" x14ac:dyDescent="0.3">
      <c r="A70" t="s">
        <v>592</v>
      </c>
      <c r="E70" t="s">
        <v>593</v>
      </c>
      <c r="F70" t="s">
        <v>592</v>
      </c>
      <c r="G70">
        <v>100</v>
      </c>
      <c r="H70">
        <v>500</v>
      </c>
      <c r="I70">
        <v>450</v>
      </c>
      <c r="J70" t="s">
        <v>196</v>
      </c>
      <c r="K70">
        <v>1000</v>
      </c>
      <c r="L70" t="s">
        <v>197</v>
      </c>
      <c r="M70">
        <v>17028973</v>
      </c>
      <c r="N70">
        <v>92843</v>
      </c>
      <c r="O70" t="s">
        <v>612</v>
      </c>
      <c r="P70">
        <v>717477349</v>
      </c>
      <c r="Q70">
        <v>1</v>
      </c>
      <c r="R70" t="s">
        <v>199</v>
      </c>
      <c r="S70" t="s">
        <v>561</v>
      </c>
      <c r="T70" s="1" cm="1">
        <f t="array" ref="T70">MAX(IF(('История закупоку BUYER'!$R:$R&gt;0)*('История закупоку BUYER'!$A:$A=Список_товар_API[[#This Row],[Артикул]]),'История закупоку BUYER'!$C:$C))</f>
        <v>45835</v>
      </c>
      <c r="U70" s="35">
        <f>+IFERROR(AVERAGEIFS('История закупоку BUYER'!R:R,'История закупоку BUYER'!A:A,A70,'История закупоку BUYER'!C:C,T70)+Список_товар_API[[#This Row],[Цена упаковки]]+Список_товар_API[[#This Row],[цена доставки]]+Список_товар_API[[#This Row],[Цена честного знака]],0)</f>
        <v>992.55566606794218</v>
      </c>
      <c r="V70" s="9">
        <f>VLOOKUP(Список_товар_API[[#This Row],[Артикул]],Стоимости_товаров_OZON[],24,0)</f>
        <v>2858</v>
      </c>
      <c r="W70" s="35">
        <f>VLOOKUP(Список_товар_API[[#This Row],[Артикул]],Стоимости_товаров_OZON[],26,0)</f>
        <v>4014</v>
      </c>
      <c r="X70">
        <v>50</v>
      </c>
      <c r="Y70">
        <v>30</v>
      </c>
      <c r="Z70">
        <v>10</v>
      </c>
      <c r="AB70" s="3"/>
    </row>
    <row r="71" spans="1:28" hidden="1" x14ac:dyDescent="0.3">
      <c r="A71" t="s">
        <v>256</v>
      </c>
      <c r="B71">
        <v>843059432</v>
      </c>
      <c r="C71">
        <v>1394692927</v>
      </c>
      <c r="D71" t="s">
        <v>257</v>
      </c>
      <c r="E71" t="s">
        <v>258</v>
      </c>
      <c r="F71" t="s">
        <v>256</v>
      </c>
      <c r="G71">
        <v>50</v>
      </c>
      <c r="H71">
        <v>140</v>
      </c>
      <c r="I71">
        <v>120</v>
      </c>
      <c r="J71" t="s">
        <v>196</v>
      </c>
      <c r="K71">
        <v>250</v>
      </c>
      <c r="L71" t="s">
        <v>197</v>
      </c>
      <c r="M71">
        <v>17028649</v>
      </c>
      <c r="N71">
        <v>95272</v>
      </c>
      <c r="O71" t="s">
        <v>259</v>
      </c>
      <c r="P71">
        <v>291215577</v>
      </c>
      <c r="Q71">
        <v>4</v>
      </c>
      <c r="R71" t="s">
        <v>199</v>
      </c>
      <c r="S71" t="s">
        <v>562</v>
      </c>
      <c r="T71" s="1" cm="1">
        <f t="array" ref="T71">MAX(IF(('История закупоку BUYER'!$R:$R&gt;0)*('История закупоку BUYER'!$A:$A=Список_товар_API[[#This Row],[Артикул]]),'История закупоку BUYER'!$C:$C))</f>
        <v>0</v>
      </c>
      <c r="U71" s="35">
        <f>+IFERROR(AVERAGEIFS('История закупоку BUYER'!R:R,'История закупоку BUYER'!A:A,A71,'История закупоку BUYER'!C:C,T71)+Список_товар_API[[#This Row],[Цена упаковки]]+Список_товар_API[[#This Row],[цена доставки]]+Список_товар_API[[#This Row],[Цена честного знака]],0)</f>
        <v>0</v>
      </c>
      <c r="V71" s="9">
        <f>VLOOKUP(Список_товар_API[[#This Row],[Артикул]],Стоимости_товаров_OZON[],24,0)</f>
        <v>0</v>
      </c>
      <c r="W71" s="35">
        <f>VLOOKUP(Список_товар_API[[#This Row],[Артикул]],Стоимости_товаров_OZON[],26,0)</f>
        <v>4100</v>
      </c>
      <c r="X71">
        <v>50</v>
      </c>
      <c r="Y71">
        <v>30</v>
      </c>
      <c r="Z71">
        <v>10</v>
      </c>
      <c r="AB71" s="3"/>
    </row>
    <row r="72" spans="1:28" hidden="1" x14ac:dyDescent="0.3">
      <c r="A72" t="s">
        <v>260</v>
      </c>
      <c r="B72">
        <v>843059434</v>
      </c>
      <c r="C72">
        <v>1394692908</v>
      </c>
      <c r="D72" t="s">
        <v>261</v>
      </c>
      <c r="E72" t="s">
        <v>262</v>
      </c>
      <c r="F72" t="s">
        <v>260</v>
      </c>
      <c r="G72">
        <v>50</v>
      </c>
      <c r="H72">
        <v>140</v>
      </c>
      <c r="I72">
        <v>120</v>
      </c>
      <c r="J72" t="s">
        <v>196</v>
      </c>
      <c r="K72">
        <v>250</v>
      </c>
      <c r="L72" t="s">
        <v>197</v>
      </c>
      <c r="M72">
        <v>17028649</v>
      </c>
      <c r="N72">
        <v>95272</v>
      </c>
      <c r="O72" t="s">
        <v>263</v>
      </c>
      <c r="P72">
        <v>291228104</v>
      </c>
      <c r="Q72">
        <v>3</v>
      </c>
      <c r="R72" t="s">
        <v>199</v>
      </c>
      <c r="S72" t="s">
        <v>562</v>
      </c>
      <c r="T72" s="1" cm="1">
        <f t="array" ref="T72">MAX(IF(('История закупоку BUYER'!$R:$R&gt;0)*('История закупоку BUYER'!$A:$A=Список_товар_API[[#This Row],[Артикул]]),'История закупоку BUYER'!$C:$C))</f>
        <v>0</v>
      </c>
      <c r="U72" s="35">
        <f>+IFERROR(AVERAGEIFS('История закупоку BUYER'!R:R,'История закупоку BUYER'!A:A,A72,'История закупоку BUYER'!C:C,T72)+Список_товар_API[[#This Row],[Цена упаковки]]+Список_товар_API[[#This Row],[цена доставки]]+Список_товар_API[[#This Row],[Цена честного знака]],0)</f>
        <v>0</v>
      </c>
      <c r="V72" s="9">
        <f>VLOOKUP(Список_товар_API[[#This Row],[Артикул]],Стоимости_товаров_OZON[],24,0)</f>
        <v>0</v>
      </c>
      <c r="W72" s="35">
        <f>VLOOKUP(Список_товар_API[[#This Row],[Артикул]],Стоимости_товаров_OZON[],26,0)</f>
        <v>4100</v>
      </c>
      <c r="X72">
        <v>50</v>
      </c>
      <c r="Y72">
        <v>30</v>
      </c>
      <c r="Z72">
        <v>10</v>
      </c>
      <c r="AB72" s="3"/>
    </row>
    <row r="73" spans="1:28" hidden="1" x14ac:dyDescent="0.3">
      <c r="A73" t="s">
        <v>264</v>
      </c>
      <c r="B73">
        <v>843059437</v>
      </c>
      <c r="C73">
        <v>1394692902</v>
      </c>
      <c r="D73" t="s">
        <v>38</v>
      </c>
      <c r="E73" t="s">
        <v>39</v>
      </c>
      <c r="F73" t="s">
        <v>264</v>
      </c>
      <c r="G73">
        <v>50</v>
      </c>
      <c r="H73">
        <v>140</v>
      </c>
      <c r="I73">
        <v>120</v>
      </c>
      <c r="J73" t="s">
        <v>196</v>
      </c>
      <c r="K73">
        <v>250</v>
      </c>
      <c r="L73" t="s">
        <v>197</v>
      </c>
      <c r="M73">
        <v>17028649</v>
      </c>
      <c r="N73">
        <v>95272</v>
      </c>
      <c r="O73" t="s">
        <v>265</v>
      </c>
      <c r="P73">
        <v>68572613</v>
      </c>
      <c r="Q73">
        <v>4</v>
      </c>
      <c r="R73" t="s">
        <v>199</v>
      </c>
      <c r="S73" t="s">
        <v>562</v>
      </c>
      <c r="T73" s="1" cm="1">
        <f t="array" ref="T73">MAX(IF(('История закупоку BUYER'!$R:$R&gt;0)*('История закупоку BUYER'!$A:$A=Список_товар_API[[#This Row],[Артикул]]),'История закупоку BUYER'!$C:$C))</f>
        <v>45538</v>
      </c>
      <c r="U73" s="35">
        <f>+IFERROR(AVERAGEIFS('История закупоку BUYER'!R:R,'История закупоку BUYER'!A:A,A73,'История закупоку BUYER'!C:C,T73)+Список_товар_API[[#This Row],[Цена упаковки]]+Список_товар_API[[#This Row],[цена доставки]]+Список_товар_API[[#This Row],[Цена честного знака]],0)</f>
        <v>2373.822286922757</v>
      </c>
      <c r="V73" s="9">
        <f>VLOOKUP(Список_товар_API[[#This Row],[Артикул]],Стоимости_товаров_OZON[],24,0)</f>
        <v>0</v>
      </c>
      <c r="W73" s="35">
        <f>VLOOKUP(Список_товар_API[[#This Row],[Артикул]],Стоимости_товаров_OZON[],26,0)</f>
        <v>5100</v>
      </c>
      <c r="X73">
        <v>50</v>
      </c>
      <c r="Y73">
        <v>30</v>
      </c>
      <c r="Z73">
        <v>10</v>
      </c>
      <c r="AB73" s="3"/>
    </row>
    <row r="74" spans="1:28" hidden="1" x14ac:dyDescent="0.3">
      <c r="A74" t="s">
        <v>266</v>
      </c>
      <c r="B74">
        <v>843059439</v>
      </c>
      <c r="C74">
        <v>1394692944</v>
      </c>
      <c r="D74" t="s">
        <v>267</v>
      </c>
      <c r="E74" t="s">
        <v>268</v>
      </c>
      <c r="F74" t="s">
        <v>266</v>
      </c>
      <c r="G74">
        <v>50</v>
      </c>
      <c r="H74">
        <v>140</v>
      </c>
      <c r="I74">
        <v>120</v>
      </c>
      <c r="J74" t="s">
        <v>196</v>
      </c>
      <c r="K74">
        <v>250</v>
      </c>
      <c r="L74" t="s">
        <v>197</v>
      </c>
      <c r="M74">
        <v>17028649</v>
      </c>
      <c r="N74">
        <v>95272</v>
      </c>
      <c r="O74" t="s">
        <v>269</v>
      </c>
      <c r="P74">
        <v>291215577</v>
      </c>
      <c r="Q74">
        <v>4</v>
      </c>
      <c r="R74" t="s">
        <v>199</v>
      </c>
      <c r="S74" t="s">
        <v>562</v>
      </c>
      <c r="T74" s="1" cm="1">
        <f t="array" ref="T74">MAX(IF(('История закупоку BUYER'!$R:$R&gt;0)*('История закупоку BUYER'!$A:$A=Список_товар_API[[#This Row],[Артикул]]),'История закупоку BUYER'!$C:$C))</f>
        <v>0</v>
      </c>
      <c r="U74" s="35">
        <f>+IFERROR(AVERAGEIFS('История закупоку BUYER'!R:R,'История закупоку BUYER'!A:A,A74,'История закупоку BUYER'!C:C,T74)+Список_товар_API[[#This Row],[Цена упаковки]]+Список_товар_API[[#This Row],[цена доставки]]+Список_товар_API[[#This Row],[Цена честного знака]],0)</f>
        <v>0</v>
      </c>
      <c r="V74" s="9">
        <f>VLOOKUP(Список_товар_API[[#This Row],[Артикул]],Стоимости_товаров_OZON[],24,0)</f>
        <v>0</v>
      </c>
      <c r="W74" s="35">
        <f>VLOOKUP(Список_товар_API[[#This Row],[Артикул]],Стоимости_товаров_OZON[],26,0)</f>
        <v>4100</v>
      </c>
      <c r="X74">
        <v>50</v>
      </c>
      <c r="Y74">
        <v>30</v>
      </c>
      <c r="Z74">
        <v>10</v>
      </c>
      <c r="AB74" s="3"/>
    </row>
    <row r="75" spans="1:28" hidden="1" x14ac:dyDescent="0.3">
      <c r="A75" t="s">
        <v>270</v>
      </c>
      <c r="B75">
        <v>843059444</v>
      </c>
      <c r="C75">
        <v>1394692948</v>
      </c>
      <c r="D75" t="s">
        <v>271</v>
      </c>
      <c r="E75" t="s">
        <v>262</v>
      </c>
      <c r="F75" t="s">
        <v>270</v>
      </c>
      <c r="G75">
        <v>50</v>
      </c>
      <c r="H75">
        <v>140</v>
      </c>
      <c r="I75">
        <v>120</v>
      </c>
      <c r="J75" t="s">
        <v>196</v>
      </c>
      <c r="K75">
        <v>250</v>
      </c>
      <c r="L75" t="s">
        <v>197</v>
      </c>
      <c r="M75">
        <v>17028649</v>
      </c>
      <c r="N75">
        <v>95272</v>
      </c>
      <c r="O75" t="s">
        <v>272</v>
      </c>
      <c r="P75">
        <v>291228104</v>
      </c>
      <c r="Q75">
        <v>3</v>
      </c>
      <c r="R75" t="s">
        <v>199</v>
      </c>
      <c r="S75" t="s">
        <v>562</v>
      </c>
      <c r="T75" s="1" cm="1">
        <f t="array" ref="T75">MAX(IF(('История закупоку BUYER'!$R:$R&gt;0)*('История закупоку BUYER'!$A:$A=Список_товар_API[[#This Row],[Артикул]]),'История закупоку BUYER'!$C:$C))</f>
        <v>0</v>
      </c>
      <c r="U75" s="35">
        <f>+IFERROR(AVERAGEIFS('История закупоку BUYER'!R:R,'История закупоку BUYER'!A:A,A75,'История закупоку BUYER'!C:C,T75)+Список_товар_API[[#This Row],[Цена упаковки]]+Список_товар_API[[#This Row],[цена доставки]]+Список_товар_API[[#This Row],[Цена честного знака]],0)</f>
        <v>0</v>
      </c>
      <c r="V75" s="9">
        <f>VLOOKUP(Список_товар_API[[#This Row],[Артикул]],Стоимости_товаров_OZON[],24,0)</f>
        <v>0</v>
      </c>
      <c r="W75" s="35">
        <f>VLOOKUP(Список_товар_API[[#This Row],[Артикул]],Стоимости_товаров_OZON[],26,0)</f>
        <v>4100</v>
      </c>
      <c r="X75">
        <v>50</v>
      </c>
      <c r="Y75">
        <v>30</v>
      </c>
      <c r="Z75">
        <v>10</v>
      </c>
      <c r="AB75" s="3"/>
    </row>
    <row r="76" spans="1:28" hidden="1" x14ac:dyDescent="0.3">
      <c r="A76" t="s">
        <v>254</v>
      </c>
      <c r="B76">
        <v>843059451</v>
      </c>
      <c r="C76">
        <v>1394692953</v>
      </c>
      <c r="D76" t="s">
        <v>273</v>
      </c>
      <c r="E76" t="s">
        <v>274</v>
      </c>
      <c r="F76" t="s">
        <v>254</v>
      </c>
      <c r="G76">
        <v>50</v>
      </c>
      <c r="H76">
        <v>140</v>
      </c>
      <c r="I76">
        <v>120</v>
      </c>
      <c r="J76" t="s">
        <v>196</v>
      </c>
      <c r="K76">
        <v>250</v>
      </c>
      <c r="L76" t="s">
        <v>197</v>
      </c>
      <c r="M76">
        <v>17028649</v>
      </c>
      <c r="N76">
        <v>95272</v>
      </c>
      <c r="O76" t="s">
        <v>275</v>
      </c>
      <c r="P76">
        <v>291215577</v>
      </c>
      <c r="Q76">
        <v>4</v>
      </c>
      <c r="R76" t="s">
        <v>199</v>
      </c>
      <c r="S76" t="s">
        <v>562</v>
      </c>
      <c r="T76" s="1" cm="1">
        <f t="array" ref="T76">MAX(IF(('История закупоку BUYER'!$R:$R&gt;0)*('История закупоку BUYER'!$A:$A=Список_товар_API[[#This Row],[Артикул]]),'История закупоку BUYER'!$C:$C))</f>
        <v>45356</v>
      </c>
      <c r="U76" s="35">
        <f>+IFERROR(AVERAGEIFS('История закупоку BUYER'!R:R,'История закупоку BUYER'!A:A,A76,'История закупоку BUYER'!C:C,T76)+Список_товар_API[[#This Row],[Цена упаковки]]+Список_товар_API[[#This Row],[цена доставки]]+Список_товар_API[[#This Row],[Цена честного знака]],0)</f>
        <v>1648.9442067259704</v>
      </c>
      <c r="V76" s="9">
        <f>VLOOKUP(Список_товар_API[[#This Row],[Артикул]],Стоимости_товаров_OZON[],24,0)</f>
        <v>0</v>
      </c>
      <c r="W76" s="35">
        <f>VLOOKUP(Список_товар_API[[#This Row],[Артикул]],Стоимости_товаров_OZON[],26,0)</f>
        <v>4100</v>
      </c>
      <c r="X76">
        <v>50</v>
      </c>
      <c r="Y76">
        <v>30</v>
      </c>
      <c r="Z76">
        <v>10</v>
      </c>
      <c r="AB76" s="3"/>
    </row>
    <row r="77" spans="1:28" hidden="1" x14ac:dyDescent="0.3">
      <c r="A77" t="s">
        <v>276</v>
      </c>
      <c r="B77">
        <v>843059453</v>
      </c>
      <c r="C77">
        <v>1394692914</v>
      </c>
      <c r="D77" t="s">
        <v>277</v>
      </c>
      <c r="E77" t="s">
        <v>278</v>
      </c>
      <c r="F77" t="s">
        <v>276</v>
      </c>
      <c r="G77">
        <v>50</v>
      </c>
      <c r="H77">
        <v>110</v>
      </c>
      <c r="I77">
        <v>80</v>
      </c>
      <c r="J77" t="s">
        <v>196</v>
      </c>
      <c r="K77">
        <v>140</v>
      </c>
      <c r="L77" t="s">
        <v>197</v>
      </c>
      <c r="M77">
        <v>17028932</v>
      </c>
      <c r="N77">
        <v>91518</v>
      </c>
      <c r="O77" t="s">
        <v>279</v>
      </c>
      <c r="P77">
        <v>292965062</v>
      </c>
      <c r="Q77">
        <v>2</v>
      </c>
      <c r="R77" t="s">
        <v>199</v>
      </c>
      <c r="S77" t="s">
        <v>562</v>
      </c>
      <c r="T77" s="1" cm="1">
        <f t="array" ref="T77">MAX(IF(('История закупоку BUYER'!$R:$R&gt;0)*('История закупоку BUYER'!$A:$A=Список_товар_API[[#This Row],[Артикул]]),'История закупоку BUYER'!$C:$C))</f>
        <v>0</v>
      </c>
      <c r="U77" s="35">
        <f>+IFERROR(AVERAGEIFS('История закупоку BUYER'!R:R,'История закупоку BUYER'!A:A,A77,'История закупоку BUYER'!C:C,T77)+Список_товар_API[[#This Row],[Цена упаковки]]+Список_товар_API[[#This Row],[цена доставки]]+Список_товар_API[[#This Row],[Цена честного знака]],0)</f>
        <v>0</v>
      </c>
      <c r="V77" s="9">
        <f>VLOOKUP(Список_товар_API[[#This Row],[Артикул]],Стоимости_товаров_OZON[],24,0)</f>
        <v>700</v>
      </c>
      <c r="W77" s="35">
        <f>VLOOKUP(Список_товар_API[[#This Row],[Артикул]],Стоимости_товаров_OZON[],26,0)</f>
        <v>750</v>
      </c>
      <c r="X77">
        <v>50</v>
      </c>
      <c r="Y77">
        <v>30</v>
      </c>
      <c r="Z77">
        <v>10</v>
      </c>
      <c r="AB77" s="3"/>
    </row>
    <row r="78" spans="1:28" hidden="1" x14ac:dyDescent="0.3">
      <c r="A78" t="s">
        <v>133</v>
      </c>
      <c r="B78">
        <v>843059467</v>
      </c>
      <c r="C78">
        <v>1394692940</v>
      </c>
      <c r="D78" t="s">
        <v>36</v>
      </c>
      <c r="E78" t="s">
        <v>37</v>
      </c>
      <c r="F78" t="s">
        <v>133</v>
      </c>
      <c r="G78">
        <v>50</v>
      </c>
      <c r="H78">
        <v>140</v>
      </c>
      <c r="I78">
        <v>120</v>
      </c>
      <c r="J78" t="s">
        <v>196</v>
      </c>
      <c r="K78">
        <v>250</v>
      </c>
      <c r="L78" t="s">
        <v>197</v>
      </c>
      <c r="M78">
        <v>17028649</v>
      </c>
      <c r="N78">
        <v>95272</v>
      </c>
      <c r="O78" t="s">
        <v>201</v>
      </c>
      <c r="P78">
        <v>68572613</v>
      </c>
      <c r="Q78">
        <v>4</v>
      </c>
      <c r="R78" t="s">
        <v>199</v>
      </c>
      <c r="S78" t="s">
        <v>562</v>
      </c>
      <c r="T78" s="1" cm="1">
        <f t="array" ref="T78">MAX(IF(('История закупоку BUYER'!$R:$R&gt;0)*('История закупоку BUYER'!$A:$A=Список_товар_API[[#This Row],[Артикул]]),'История закупоку BUYER'!$C:$C))</f>
        <v>45538</v>
      </c>
      <c r="U78" s="35">
        <f>+IFERROR(AVERAGEIFS('История закупоку BUYER'!R:R,'История закупоку BUYER'!A:A,A78,'История закупоку BUYER'!C:C,T78)+Список_товар_API[[#This Row],[Цена упаковки]]+Список_товар_API[[#This Row],[цена доставки]]+Список_товар_API[[#This Row],[Цена честного знака]],0)</f>
        <v>2373.822286922757</v>
      </c>
      <c r="V78" s="9">
        <f>VLOOKUP(Список_товар_API[[#This Row],[Артикул]],Стоимости_товаров_OZON[],24,0)</f>
        <v>1000</v>
      </c>
      <c r="W78" s="35">
        <f>VLOOKUP(Список_товар_API[[#This Row],[Артикул]],Стоимости_товаров_OZON[],26,0)</f>
        <v>1000</v>
      </c>
      <c r="X78">
        <v>50</v>
      </c>
      <c r="Y78">
        <v>30</v>
      </c>
      <c r="Z78">
        <v>10</v>
      </c>
      <c r="AB78" s="3"/>
    </row>
    <row r="79" spans="1:28" hidden="1" x14ac:dyDescent="0.3">
      <c r="A79" t="s">
        <v>280</v>
      </c>
      <c r="B79">
        <v>843059472</v>
      </c>
      <c r="C79">
        <v>1394692965</v>
      </c>
      <c r="D79" t="s">
        <v>40</v>
      </c>
      <c r="E79" t="s">
        <v>41</v>
      </c>
      <c r="F79" t="s">
        <v>280</v>
      </c>
      <c r="G79">
        <v>50</v>
      </c>
      <c r="H79">
        <v>140</v>
      </c>
      <c r="I79">
        <v>120</v>
      </c>
      <c r="J79" t="s">
        <v>196</v>
      </c>
      <c r="K79">
        <v>250</v>
      </c>
      <c r="L79" t="s">
        <v>197</v>
      </c>
      <c r="M79">
        <v>17028649</v>
      </c>
      <c r="N79">
        <v>95272</v>
      </c>
      <c r="O79" t="s">
        <v>281</v>
      </c>
      <c r="P79">
        <v>291215577</v>
      </c>
      <c r="Q79">
        <v>4</v>
      </c>
      <c r="R79" t="s">
        <v>199</v>
      </c>
      <c r="S79" t="s">
        <v>562</v>
      </c>
      <c r="T79" s="1" cm="1">
        <f t="array" ref="T79">MAX(IF(('История закупоку BUYER'!$R:$R&gt;0)*('История закупоку BUYER'!$A:$A=Список_товар_API[[#This Row],[Артикул]]),'История закупоку BUYER'!$C:$C))</f>
        <v>45538</v>
      </c>
      <c r="U79" s="35">
        <f>+IFERROR(AVERAGEIFS('История закупоку BUYER'!R:R,'История закупоку BUYER'!A:A,A79,'История закупоку BUYER'!C:C,T79)+Список_товар_API[[#This Row],[Цена упаковки]]+Список_товар_API[[#This Row],[цена доставки]]+Список_товар_API[[#This Row],[Цена честного знака]],0)</f>
        <v>1735.3644968306639</v>
      </c>
      <c r="V79" s="9">
        <f>VLOOKUP(Список_товар_API[[#This Row],[Артикул]],Стоимости_товаров_OZON[],24,0)</f>
        <v>0</v>
      </c>
      <c r="W79" s="35">
        <f>VLOOKUP(Список_товар_API[[#This Row],[Артикул]],Стоимости_товаров_OZON[],26,0)</f>
        <v>4100</v>
      </c>
      <c r="X79">
        <v>50</v>
      </c>
      <c r="Y79">
        <v>30</v>
      </c>
      <c r="Z79">
        <v>10</v>
      </c>
      <c r="AB79" s="3"/>
    </row>
    <row r="80" spans="1:28" hidden="1" x14ac:dyDescent="0.3">
      <c r="A80" t="s">
        <v>282</v>
      </c>
      <c r="B80">
        <v>843059474</v>
      </c>
      <c r="C80">
        <v>1394692963</v>
      </c>
      <c r="D80" t="s">
        <v>283</v>
      </c>
      <c r="E80" t="s">
        <v>262</v>
      </c>
      <c r="F80" t="s">
        <v>282</v>
      </c>
      <c r="G80">
        <v>50</v>
      </c>
      <c r="H80">
        <v>140</v>
      </c>
      <c r="I80">
        <v>120</v>
      </c>
      <c r="J80" t="s">
        <v>196</v>
      </c>
      <c r="K80">
        <v>250</v>
      </c>
      <c r="L80" t="s">
        <v>197</v>
      </c>
      <c r="M80">
        <v>17028649</v>
      </c>
      <c r="N80">
        <v>95272</v>
      </c>
      <c r="O80" t="s">
        <v>284</v>
      </c>
      <c r="P80">
        <v>291228104</v>
      </c>
      <c r="Q80">
        <v>3</v>
      </c>
      <c r="R80" t="s">
        <v>199</v>
      </c>
      <c r="S80" t="s">
        <v>562</v>
      </c>
      <c r="T80" s="1" cm="1">
        <f t="array" ref="T80">MAX(IF(('История закупоку BUYER'!$R:$R&gt;0)*('История закупоку BUYER'!$A:$A=Список_товар_API[[#This Row],[Артикул]]),'История закупоку BUYER'!$C:$C))</f>
        <v>0</v>
      </c>
      <c r="U80" s="35">
        <f>+IFERROR(AVERAGEIFS('История закупоку BUYER'!R:R,'История закупоку BUYER'!A:A,A80,'История закупоку BUYER'!C:C,T80)+Список_товар_API[[#This Row],[Цена упаковки]]+Список_товар_API[[#This Row],[цена доставки]]+Список_товар_API[[#This Row],[Цена честного знака]],0)</f>
        <v>0</v>
      </c>
      <c r="V80" s="9">
        <f>VLOOKUP(Список_товар_API[[#This Row],[Артикул]],Стоимости_товаров_OZON[],24,0)</f>
        <v>0</v>
      </c>
      <c r="W80" s="35">
        <f>VLOOKUP(Список_товар_API[[#This Row],[Артикул]],Стоимости_товаров_OZON[],26,0)</f>
        <v>4100</v>
      </c>
      <c r="X80">
        <v>50</v>
      </c>
      <c r="Y80">
        <v>30</v>
      </c>
      <c r="Z80">
        <v>10</v>
      </c>
      <c r="AB80" s="3"/>
    </row>
    <row r="81" spans="1:28" hidden="1" x14ac:dyDescent="0.3">
      <c r="A81" t="s">
        <v>285</v>
      </c>
      <c r="B81">
        <v>843059483</v>
      </c>
      <c r="C81">
        <v>1394692961</v>
      </c>
      <c r="D81" t="s">
        <v>44</v>
      </c>
      <c r="E81" t="s">
        <v>43</v>
      </c>
      <c r="F81" t="s">
        <v>285</v>
      </c>
      <c r="G81">
        <v>50</v>
      </c>
      <c r="H81">
        <v>140</v>
      </c>
      <c r="I81">
        <v>120</v>
      </c>
      <c r="J81" t="s">
        <v>196</v>
      </c>
      <c r="K81">
        <v>250</v>
      </c>
      <c r="L81" t="s">
        <v>197</v>
      </c>
      <c r="M81">
        <v>17028649</v>
      </c>
      <c r="N81">
        <v>95272</v>
      </c>
      <c r="O81" t="s">
        <v>286</v>
      </c>
      <c r="P81">
        <v>173498234</v>
      </c>
      <c r="Q81">
        <v>2</v>
      </c>
      <c r="R81" t="s">
        <v>199</v>
      </c>
      <c r="S81" t="s">
        <v>562</v>
      </c>
      <c r="T81" s="1" cm="1">
        <f t="array" ref="T81">MAX(IF(('История закупоку BUYER'!$R:$R&gt;0)*('История закупоку BUYER'!$A:$A=Список_товар_API[[#This Row],[Артикул]]),'История закупоку BUYER'!$C:$C))</f>
        <v>45538</v>
      </c>
      <c r="U81" s="35">
        <f>+IFERROR(AVERAGEIFS('История закупоку BUYER'!R:R,'История закупоку BUYER'!A:A,A81,'История закупоку BUYER'!C:C,T81)+Список_товар_API[[#This Row],[Цена упаковки]]+Список_товар_API[[#This Row],[цена доставки]]+Список_товар_API[[#This Row],[Цена честного знака]],0)</f>
        <v>2373.822286922757</v>
      </c>
      <c r="V81" s="9">
        <f>VLOOKUP(Список_товар_API[[#This Row],[Артикул]],Стоимости_товаров_OZON[],24,0)</f>
        <v>0</v>
      </c>
      <c r="W81" s="35">
        <f>VLOOKUP(Список_товар_API[[#This Row],[Артикул]],Стоимости_товаров_OZON[],26,0)</f>
        <v>4650</v>
      </c>
      <c r="X81">
        <v>50</v>
      </c>
      <c r="Y81">
        <v>30</v>
      </c>
      <c r="Z81">
        <v>10</v>
      </c>
      <c r="AB81" s="3"/>
    </row>
    <row r="82" spans="1:28" hidden="1" x14ac:dyDescent="0.3">
      <c r="A82" t="s">
        <v>287</v>
      </c>
      <c r="B82">
        <v>843059490</v>
      </c>
      <c r="C82">
        <v>1394692979</v>
      </c>
      <c r="D82" t="s">
        <v>288</v>
      </c>
      <c r="E82" t="s">
        <v>289</v>
      </c>
      <c r="F82" t="s">
        <v>287</v>
      </c>
      <c r="G82">
        <v>50</v>
      </c>
      <c r="H82">
        <v>110</v>
      </c>
      <c r="I82">
        <v>80</v>
      </c>
      <c r="J82" t="s">
        <v>196</v>
      </c>
      <c r="K82">
        <v>140</v>
      </c>
      <c r="L82" t="s">
        <v>197</v>
      </c>
      <c r="M82">
        <v>17028932</v>
      </c>
      <c r="N82">
        <v>91518</v>
      </c>
      <c r="O82" t="s">
        <v>290</v>
      </c>
      <c r="P82">
        <v>292965062</v>
      </c>
      <c r="Q82">
        <v>2</v>
      </c>
      <c r="R82" t="s">
        <v>199</v>
      </c>
      <c r="S82" t="s">
        <v>562</v>
      </c>
      <c r="T82" s="1" cm="1">
        <f t="array" ref="T82">MAX(IF(('История закупоку BUYER'!$R:$R&gt;0)*('История закупоку BUYER'!$A:$A=Список_товар_API[[#This Row],[Артикул]]),'История закупоку BUYER'!$C:$C))</f>
        <v>0</v>
      </c>
      <c r="U82" s="35">
        <f>+IFERROR(AVERAGEIFS('История закупоку BUYER'!R:R,'История закупоку BUYER'!A:A,A82,'История закупоку BUYER'!C:C,T82)+Список_товар_API[[#This Row],[Цена упаковки]]+Список_товар_API[[#This Row],[цена доставки]]+Список_товар_API[[#This Row],[Цена честного знака]],0)</f>
        <v>0</v>
      </c>
      <c r="V82" s="9">
        <f>VLOOKUP(Список_товар_API[[#This Row],[Артикул]],Стоимости_товаров_OZON[],24,0)</f>
        <v>700</v>
      </c>
      <c r="W82" s="35">
        <f>VLOOKUP(Список_товар_API[[#This Row],[Артикул]],Стоимости_товаров_OZON[],26,0)</f>
        <v>750</v>
      </c>
      <c r="X82">
        <v>50</v>
      </c>
      <c r="Y82">
        <v>30</v>
      </c>
      <c r="Z82">
        <v>10</v>
      </c>
      <c r="AB82" s="3"/>
    </row>
    <row r="83" spans="1:28" hidden="1" x14ac:dyDescent="0.3">
      <c r="A83" t="s">
        <v>291</v>
      </c>
      <c r="B83">
        <v>843059491</v>
      </c>
      <c r="C83">
        <v>1394692977</v>
      </c>
      <c r="D83" t="s">
        <v>47</v>
      </c>
      <c r="E83" t="s">
        <v>48</v>
      </c>
      <c r="F83" t="s">
        <v>291</v>
      </c>
      <c r="G83">
        <v>50</v>
      </c>
      <c r="H83">
        <v>140</v>
      </c>
      <c r="I83">
        <v>120</v>
      </c>
      <c r="J83" t="s">
        <v>196</v>
      </c>
      <c r="K83">
        <v>250</v>
      </c>
      <c r="L83" t="s">
        <v>197</v>
      </c>
      <c r="M83">
        <v>17028649</v>
      </c>
      <c r="N83">
        <v>95272</v>
      </c>
      <c r="O83" t="s">
        <v>292</v>
      </c>
      <c r="P83">
        <v>68572613</v>
      </c>
      <c r="Q83">
        <v>4</v>
      </c>
      <c r="R83" t="s">
        <v>199</v>
      </c>
      <c r="S83" t="s">
        <v>562</v>
      </c>
      <c r="T83" s="1" cm="1">
        <f t="array" ref="T83">MAX(IF(('История закупоку BUYER'!$R:$R&gt;0)*('История закупоку BUYER'!$A:$A=Список_товар_API[[#This Row],[Артикул]]),'История закупоку BUYER'!$C:$C))</f>
        <v>45538</v>
      </c>
      <c r="U83" s="35">
        <f>+IFERROR(AVERAGEIFS('История закупоку BUYER'!R:R,'История закупоку BUYER'!A:A,A83,'История закупоку BUYER'!C:C,T83)+Список_товар_API[[#This Row],[Цена упаковки]]+Список_товар_API[[#This Row],[цена доставки]]+Список_товар_API[[#This Row],[Цена честного знака]],0)</f>
        <v>2373.822286922757</v>
      </c>
      <c r="V83" s="9">
        <f>VLOOKUP(Список_товар_API[[#This Row],[Артикул]],Стоимости_товаров_OZON[],24,0)</f>
        <v>0</v>
      </c>
      <c r="W83" s="35">
        <f>VLOOKUP(Список_товар_API[[#This Row],[Артикул]],Стоимости_товаров_OZON[],26,0)</f>
        <v>5100</v>
      </c>
      <c r="X83">
        <v>50</v>
      </c>
      <c r="Y83">
        <v>30</v>
      </c>
      <c r="Z83">
        <v>10</v>
      </c>
      <c r="AB83" s="3"/>
    </row>
    <row r="84" spans="1:28" hidden="1" x14ac:dyDescent="0.3">
      <c r="A84" t="s">
        <v>293</v>
      </c>
      <c r="B84">
        <v>843059492</v>
      </c>
      <c r="C84">
        <v>1394692975</v>
      </c>
      <c r="D84" t="s">
        <v>45</v>
      </c>
      <c r="E84" t="s">
        <v>46</v>
      </c>
      <c r="F84" t="s">
        <v>293</v>
      </c>
      <c r="G84">
        <v>50</v>
      </c>
      <c r="H84">
        <v>140</v>
      </c>
      <c r="I84">
        <v>120</v>
      </c>
      <c r="J84" t="s">
        <v>196</v>
      </c>
      <c r="K84">
        <v>250</v>
      </c>
      <c r="L84" t="s">
        <v>197</v>
      </c>
      <c r="M84">
        <v>17028649</v>
      </c>
      <c r="N84">
        <v>95272</v>
      </c>
      <c r="O84" t="s">
        <v>294</v>
      </c>
      <c r="P84">
        <v>68572613</v>
      </c>
      <c r="Q84">
        <v>4</v>
      </c>
      <c r="R84" t="s">
        <v>199</v>
      </c>
      <c r="S84" t="s">
        <v>562</v>
      </c>
      <c r="T84" s="1" cm="1">
        <f t="array" ref="T84">MAX(IF(('История закупоку BUYER'!$R:$R&gt;0)*('История закупоку BUYER'!$A:$A=Список_товар_API[[#This Row],[Артикул]]),'История закупоку BUYER'!$C:$C))</f>
        <v>45538</v>
      </c>
      <c r="U84" s="35">
        <f>+IFERROR(AVERAGEIFS('История закупоку BUYER'!R:R,'История закупоку BUYER'!A:A,A84,'История закупоку BUYER'!C:C,T84)+Список_товар_API[[#This Row],[Цена упаковки]]+Список_товар_API[[#This Row],[цена доставки]]+Список_товар_API[[#This Row],[Цена честного знака]],0)</f>
        <v>2373.822286922757</v>
      </c>
      <c r="V84" s="9">
        <f>VLOOKUP(Список_товар_API[[#This Row],[Артикул]],Стоимости_товаров_OZON[],24,0)</f>
        <v>0</v>
      </c>
      <c r="W84" s="35">
        <f>VLOOKUP(Список_товар_API[[#This Row],[Артикул]],Стоимости_товаров_OZON[],26,0)</f>
        <v>5100</v>
      </c>
      <c r="X84">
        <v>50</v>
      </c>
      <c r="Y84">
        <v>30</v>
      </c>
      <c r="Z84">
        <v>10</v>
      </c>
      <c r="AB84" s="3"/>
    </row>
    <row r="85" spans="1:28" hidden="1" x14ac:dyDescent="0.3">
      <c r="A85" t="s">
        <v>255</v>
      </c>
      <c r="B85">
        <v>843059495</v>
      </c>
      <c r="C85">
        <v>1394692978</v>
      </c>
      <c r="D85" t="s">
        <v>42</v>
      </c>
      <c r="E85" t="s">
        <v>43</v>
      </c>
      <c r="F85" t="s">
        <v>255</v>
      </c>
      <c r="G85">
        <v>50</v>
      </c>
      <c r="H85">
        <v>140</v>
      </c>
      <c r="I85">
        <v>120</v>
      </c>
      <c r="J85" t="s">
        <v>196</v>
      </c>
      <c r="K85">
        <v>250</v>
      </c>
      <c r="L85" t="s">
        <v>197</v>
      </c>
      <c r="M85">
        <v>17028649</v>
      </c>
      <c r="N85">
        <v>95272</v>
      </c>
      <c r="O85" t="s">
        <v>295</v>
      </c>
      <c r="P85">
        <v>173498234</v>
      </c>
      <c r="Q85">
        <v>2</v>
      </c>
      <c r="R85" t="s">
        <v>199</v>
      </c>
      <c r="S85" t="s">
        <v>562</v>
      </c>
      <c r="T85" s="1" cm="1">
        <f t="array" ref="T85">MAX(IF(('История закупоку BUYER'!$R:$R&gt;0)*('История закупоку BUYER'!$A:$A=Список_товар_API[[#This Row],[Артикул]]),'История закупоку BUYER'!$C:$C))</f>
        <v>45538</v>
      </c>
      <c r="U85" s="35">
        <f>+IFERROR(AVERAGEIFS('История закупоку BUYER'!R:R,'История закупоку BUYER'!A:A,A85,'История закупоку BUYER'!C:C,T85)+Список_товар_API[[#This Row],[Цена упаковки]]+Список_товар_API[[#This Row],[цена доставки]]+Список_товар_API[[#This Row],[Цена честного знака]],0)</f>
        <v>2373.822286922757</v>
      </c>
      <c r="V85" s="9">
        <f>VLOOKUP(Список_товар_API[[#This Row],[Артикул]],Стоимости_товаров_OZON[],24,0)</f>
        <v>0</v>
      </c>
      <c r="W85" s="35">
        <f>VLOOKUP(Список_товар_API[[#This Row],[Артикул]],Стоимости_товаров_OZON[],26,0)</f>
        <v>4800</v>
      </c>
      <c r="X85">
        <v>50</v>
      </c>
      <c r="Y85">
        <v>30</v>
      </c>
      <c r="Z85">
        <v>10</v>
      </c>
      <c r="AB85" s="3"/>
    </row>
    <row r="86" spans="1:28" hidden="1" x14ac:dyDescent="0.3">
      <c r="A86" t="s">
        <v>296</v>
      </c>
      <c r="B86">
        <v>857444533</v>
      </c>
      <c r="C86">
        <v>1407220121</v>
      </c>
      <c r="D86" t="s">
        <v>297</v>
      </c>
      <c r="E86" t="s">
        <v>298</v>
      </c>
      <c r="F86" t="s">
        <v>296</v>
      </c>
      <c r="G86">
        <v>50</v>
      </c>
      <c r="H86">
        <v>150</v>
      </c>
      <c r="I86">
        <v>130</v>
      </c>
      <c r="J86" t="s">
        <v>196</v>
      </c>
      <c r="K86">
        <v>250</v>
      </c>
      <c r="L86" t="s">
        <v>197</v>
      </c>
      <c r="M86">
        <v>17028649</v>
      </c>
      <c r="N86">
        <v>95272</v>
      </c>
      <c r="O86" t="s">
        <v>299</v>
      </c>
      <c r="P86">
        <v>318348413</v>
      </c>
      <c r="Q86">
        <v>1</v>
      </c>
      <c r="R86" t="s">
        <v>199</v>
      </c>
      <c r="S86" t="s">
        <v>562</v>
      </c>
      <c r="T86" s="1" cm="1">
        <f t="array" ref="T86">MAX(IF(('История закупоку BUYER'!$R:$R&gt;0)*('История закупоку BUYER'!$A:$A=Список_товар_API[[#This Row],[Артикул]]),'История закупоку BUYER'!$C:$C))</f>
        <v>0</v>
      </c>
      <c r="U86" s="35">
        <f>+IFERROR(AVERAGEIFS('История закупоку BUYER'!R:R,'История закупоку BUYER'!A:A,A86,'История закупоку BUYER'!C:C,T86)+Список_товар_API[[#This Row],[Цена упаковки]]+Список_товар_API[[#This Row],[цена доставки]]+Список_товар_API[[#This Row],[Цена честного знака]],0)</f>
        <v>0</v>
      </c>
      <c r="V86" s="9">
        <f>VLOOKUP(Список_товар_API[[#This Row],[Артикул]],Стоимости_товаров_OZON[],24,0)</f>
        <v>3000</v>
      </c>
      <c r="W86" s="35">
        <f>VLOOKUP(Список_товар_API[[#This Row],[Артикул]],Стоимости_товаров_OZON[],26,0)</f>
        <v>3100</v>
      </c>
      <c r="X86">
        <v>50</v>
      </c>
      <c r="Y86">
        <v>30</v>
      </c>
      <c r="Z86">
        <v>10</v>
      </c>
      <c r="AB86" s="3"/>
    </row>
    <row r="87" spans="1:28" hidden="1" x14ac:dyDescent="0.3">
      <c r="A87" t="s">
        <v>300</v>
      </c>
      <c r="B87">
        <v>865231082</v>
      </c>
      <c r="C87">
        <v>1413951821</v>
      </c>
      <c r="D87" t="s">
        <v>301</v>
      </c>
      <c r="E87" t="s">
        <v>302</v>
      </c>
      <c r="F87" t="s">
        <v>300</v>
      </c>
      <c r="G87">
        <v>300</v>
      </c>
      <c r="H87">
        <v>100</v>
      </c>
      <c r="I87">
        <v>100</v>
      </c>
      <c r="J87" t="s">
        <v>196</v>
      </c>
      <c r="K87">
        <v>3000</v>
      </c>
      <c r="L87" t="s">
        <v>197</v>
      </c>
      <c r="M87">
        <v>17028752</v>
      </c>
      <c r="N87">
        <v>92267</v>
      </c>
      <c r="O87" t="s">
        <v>303</v>
      </c>
      <c r="P87">
        <v>321266566</v>
      </c>
      <c r="Q87">
        <v>1</v>
      </c>
      <c r="R87" t="s">
        <v>199</v>
      </c>
      <c r="S87" t="s">
        <v>562</v>
      </c>
      <c r="T87" s="1" cm="1">
        <f t="array" ref="T87">MAX(IF(('История закупоку BUYER'!$R:$R&gt;0)*('История закупоку BUYER'!$A:$A=Список_товар_API[[#This Row],[Артикул]]),'История закупоку BUYER'!$C:$C))</f>
        <v>0</v>
      </c>
      <c r="U87" s="35">
        <f>+IFERROR(AVERAGEIFS('История закупоку BUYER'!R:R,'История закупоку BUYER'!A:A,A87,'История закупоку BUYER'!C:C,T87)+Список_товар_API[[#This Row],[Цена упаковки]]+Список_товар_API[[#This Row],[цена доставки]]+Список_товар_API[[#This Row],[Цена честного знака]],0)</f>
        <v>0</v>
      </c>
      <c r="V87" s="9">
        <f>VLOOKUP(Список_товар_API[[#This Row],[Артикул]],Стоимости_товаров_OZON[],24,0)</f>
        <v>0</v>
      </c>
      <c r="W87" s="35">
        <f>VLOOKUP(Список_товар_API[[#This Row],[Артикул]],Стоимости_товаров_OZON[],26,0)</f>
        <v>350</v>
      </c>
      <c r="X87">
        <v>50</v>
      </c>
      <c r="Y87">
        <v>30</v>
      </c>
      <c r="Z87">
        <v>10</v>
      </c>
      <c r="AB87" s="3"/>
    </row>
    <row r="88" spans="1:28" hidden="1" x14ac:dyDescent="0.3">
      <c r="A88" t="s">
        <v>304</v>
      </c>
      <c r="B88">
        <v>868507614</v>
      </c>
      <c r="C88">
        <v>1416845781</v>
      </c>
      <c r="D88" t="s">
        <v>53</v>
      </c>
      <c r="E88" t="s">
        <v>54</v>
      </c>
      <c r="F88" t="s">
        <v>304</v>
      </c>
      <c r="G88">
        <v>100</v>
      </c>
      <c r="H88">
        <v>310</v>
      </c>
      <c r="I88">
        <v>220</v>
      </c>
      <c r="J88" t="s">
        <v>196</v>
      </c>
      <c r="K88">
        <v>1600</v>
      </c>
      <c r="L88" t="s">
        <v>197</v>
      </c>
      <c r="M88">
        <v>17028664</v>
      </c>
      <c r="N88">
        <v>92929</v>
      </c>
      <c r="O88" t="s">
        <v>305</v>
      </c>
      <c r="P88">
        <v>180029603</v>
      </c>
      <c r="Q88">
        <v>1</v>
      </c>
      <c r="R88" t="s">
        <v>199</v>
      </c>
      <c r="S88" t="s">
        <v>562</v>
      </c>
      <c r="T88" s="1" cm="1">
        <f t="array" ref="T88">MAX(IF(('История закупоку BUYER'!$R:$R&gt;0)*('История закупоку BUYER'!$A:$A=Список_товар_API[[#This Row],[Артикул]]),'История закупоку BUYER'!$C:$C))</f>
        <v>0</v>
      </c>
      <c r="U88" s="35">
        <f>+IFERROR(AVERAGEIFS('История закупоку BUYER'!R:R,'История закупоку BUYER'!A:A,A88,'История закупоку BUYER'!C:C,T88)+Список_товар_API[[#This Row],[Цена упаковки]]+Список_товар_API[[#This Row],[цена доставки]]+Список_товар_API[[#This Row],[Цена честного знака]],0)</f>
        <v>0</v>
      </c>
      <c r="V88" s="9">
        <f>VLOOKUP(Список_товар_API[[#This Row],[Артикул]],Стоимости_товаров_OZON[],24,0)</f>
        <v>1500</v>
      </c>
      <c r="W88" s="35">
        <f>VLOOKUP(Список_товар_API[[#This Row],[Артикул]],Стоимости_товаров_OZON[],26,0)</f>
        <v>1500</v>
      </c>
      <c r="X88">
        <v>50</v>
      </c>
      <c r="Y88">
        <v>30</v>
      </c>
      <c r="Z88">
        <v>10</v>
      </c>
      <c r="AB88" s="3"/>
    </row>
    <row r="89" spans="1:28" hidden="1" x14ac:dyDescent="0.3">
      <c r="A89" t="s">
        <v>306</v>
      </c>
      <c r="B89">
        <v>868535610</v>
      </c>
      <c r="C89">
        <v>1416870958</v>
      </c>
      <c r="D89" t="s">
        <v>307</v>
      </c>
      <c r="E89" t="s">
        <v>308</v>
      </c>
      <c r="F89" t="s">
        <v>306</v>
      </c>
      <c r="G89">
        <v>5</v>
      </c>
      <c r="H89">
        <v>300</v>
      </c>
      <c r="I89">
        <v>210</v>
      </c>
      <c r="J89" t="s">
        <v>196</v>
      </c>
      <c r="K89">
        <v>80</v>
      </c>
      <c r="L89" t="s">
        <v>197</v>
      </c>
      <c r="M89">
        <v>17028664</v>
      </c>
      <c r="N89">
        <v>92929</v>
      </c>
      <c r="O89" t="s">
        <v>305</v>
      </c>
      <c r="P89">
        <v>337792018</v>
      </c>
      <c r="Q89">
        <v>1</v>
      </c>
      <c r="R89" t="s">
        <v>199</v>
      </c>
      <c r="S89" t="s">
        <v>562</v>
      </c>
      <c r="T89" s="1" cm="1">
        <f t="array" ref="T89">MAX(IF(('История закупоку BUYER'!$R:$R&gt;0)*('История закупоку BUYER'!$A:$A=Список_товар_API[[#This Row],[Артикул]]),'История закупоку BUYER'!$C:$C))</f>
        <v>0</v>
      </c>
      <c r="U89" s="35">
        <f>+IFERROR(AVERAGEIFS('История закупоку BUYER'!R:R,'История закупоку BUYER'!A:A,A89,'История закупоку BUYER'!C:C,T89)+Список_товар_API[[#This Row],[Цена упаковки]]+Список_товар_API[[#This Row],[цена доставки]]+Список_товар_API[[#This Row],[Цена честного знака]],0)</f>
        <v>0</v>
      </c>
      <c r="V89" s="9">
        <f>VLOOKUP(Список_товар_API[[#This Row],[Артикул]],Стоимости_товаров_OZON[],24,0)</f>
        <v>245</v>
      </c>
      <c r="W89" s="35">
        <f>VLOOKUP(Список_товар_API[[#This Row],[Артикул]],Стоимости_товаров_OZON[],26,0)</f>
        <v>245</v>
      </c>
      <c r="X89">
        <v>50</v>
      </c>
      <c r="Y89">
        <v>30</v>
      </c>
      <c r="Z89">
        <v>10</v>
      </c>
      <c r="AB89" s="3"/>
    </row>
    <row r="90" spans="1:28" hidden="1" x14ac:dyDescent="0.3">
      <c r="A90" t="s">
        <v>309</v>
      </c>
      <c r="B90">
        <v>885454582</v>
      </c>
      <c r="C90">
        <v>1431882316</v>
      </c>
      <c r="D90" t="s">
        <v>310</v>
      </c>
      <c r="E90" t="s">
        <v>311</v>
      </c>
      <c r="F90" t="s">
        <v>309</v>
      </c>
      <c r="G90">
        <v>50</v>
      </c>
      <c r="H90">
        <v>140</v>
      </c>
      <c r="I90">
        <v>120</v>
      </c>
      <c r="J90" t="s">
        <v>196</v>
      </c>
      <c r="K90">
        <v>250</v>
      </c>
      <c r="L90" t="s">
        <v>197</v>
      </c>
      <c r="M90">
        <v>17028649</v>
      </c>
      <c r="N90">
        <v>95272</v>
      </c>
      <c r="O90" t="s">
        <v>312</v>
      </c>
      <c r="P90">
        <v>331059744</v>
      </c>
      <c r="Q90">
        <v>1</v>
      </c>
      <c r="R90" t="s">
        <v>199</v>
      </c>
      <c r="S90" t="s">
        <v>562</v>
      </c>
      <c r="T90" s="1" cm="1">
        <f t="array" ref="T90">MAX(IF(('История закупоку BUYER'!$R:$R&gt;0)*('История закупоку BUYER'!$A:$A=Список_товар_API[[#This Row],[Артикул]]),'История закупоку BUYER'!$C:$C))</f>
        <v>0</v>
      </c>
      <c r="U90" s="35">
        <f>+IFERROR(AVERAGEIFS('История закупоку BUYER'!R:R,'История закупоку BUYER'!A:A,A90,'История закупоку BUYER'!C:C,T90)+Список_товар_API[[#This Row],[Цена упаковки]]+Список_товар_API[[#This Row],[цена доставки]]+Список_товар_API[[#This Row],[Цена честного знака]],0)</f>
        <v>0</v>
      </c>
      <c r="V90" s="9">
        <f>VLOOKUP(Список_товар_API[[#This Row],[Артикул]],Стоимости_товаров_OZON[],24,0)</f>
        <v>0</v>
      </c>
      <c r="W90" s="35">
        <f>VLOOKUP(Список_товар_API[[#This Row],[Артикул]],Стоимости_товаров_OZON[],26,0)</f>
        <v>4100</v>
      </c>
      <c r="X90">
        <v>50</v>
      </c>
      <c r="Y90">
        <v>30</v>
      </c>
      <c r="Z90">
        <v>10</v>
      </c>
      <c r="AB90" s="3"/>
    </row>
    <row r="91" spans="1:28" hidden="1" x14ac:dyDescent="0.3">
      <c r="A91" t="s">
        <v>313</v>
      </c>
      <c r="B91">
        <v>885455354</v>
      </c>
      <c r="C91">
        <v>1431885229</v>
      </c>
      <c r="D91" t="s">
        <v>314</v>
      </c>
      <c r="E91" t="s">
        <v>315</v>
      </c>
      <c r="F91" t="s">
        <v>313</v>
      </c>
      <c r="G91">
        <v>50</v>
      </c>
      <c r="H91">
        <v>140</v>
      </c>
      <c r="I91">
        <v>120</v>
      </c>
      <c r="J91" t="s">
        <v>196</v>
      </c>
      <c r="K91">
        <v>250</v>
      </c>
      <c r="L91" t="s">
        <v>197</v>
      </c>
      <c r="M91">
        <v>17028649</v>
      </c>
      <c r="N91">
        <v>95272</v>
      </c>
      <c r="O91" t="s">
        <v>316</v>
      </c>
      <c r="P91">
        <v>331059960</v>
      </c>
      <c r="Q91">
        <v>1</v>
      </c>
      <c r="R91" t="s">
        <v>199</v>
      </c>
      <c r="S91" t="s">
        <v>562</v>
      </c>
      <c r="T91" s="1" cm="1">
        <f t="array" ref="T91">MAX(IF(('История закупоку BUYER'!$R:$R&gt;0)*('История закупоку BUYER'!$A:$A=Список_товар_API[[#This Row],[Артикул]]),'История закупоку BUYER'!$C:$C))</f>
        <v>0</v>
      </c>
      <c r="U91" s="35">
        <f>+IFERROR(AVERAGEIFS('История закупоку BUYER'!R:R,'История закупоку BUYER'!A:A,A91,'История закупоку BUYER'!C:C,T91)+Список_товар_API[[#This Row],[Цена упаковки]]+Список_товар_API[[#This Row],[цена доставки]]+Список_товар_API[[#This Row],[Цена честного знака]],0)</f>
        <v>0</v>
      </c>
      <c r="V91" s="9">
        <f>VLOOKUP(Список_товар_API[[#This Row],[Артикул]],Стоимости_товаров_OZON[],24,0)</f>
        <v>0</v>
      </c>
      <c r="W91" s="35">
        <f>VLOOKUP(Список_товар_API[[#This Row],[Артикул]],Стоимости_товаров_OZON[],26,0)</f>
        <v>4100</v>
      </c>
      <c r="X91">
        <v>50</v>
      </c>
      <c r="Y91">
        <v>30</v>
      </c>
      <c r="Z91">
        <v>10</v>
      </c>
      <c r="AB91" s="3"/>
    </row>
    <row r="92" spans="1:28" hidden="1" x14ac:dyDescent="0.3">
      <c r="A92" t="s">
        <v>317</v>
      </c>
      <c r="B92">
        <v>921873625</v>
      </c>
      <c r="C92">
        <v>1462522572</v>
      </c>
      <c r="D92" t="s">
        <v>318</v>
      </c>
      <c r="E92" t="s">
        <v>319</v>
      </c>
      <c r="F92" t="s">
        <v>317</v>
      </c>
      <c r="G92">
        <v>40</v>
      </c>
      <c r="H92">
        <v>150</v>
      </c>
      <c r="I92">
        <v>60</v>
      </c>
      <c r="J92" t="s">
        <v>196</v>
      </c>
      <c r="K92">
        <v>80</v>
      </c>
      <c r="L92" t="s">
        <v>197</v>
      </c>
      <c r="M92">
        <v>17029017</v>
      </c>
      <c r="N92">
        <v>91415</v>
      </c>
      <c r="O92" t="s">
        <v>320</v>
      </c>
      <c r="P92">
        <v>345918018</v>
      </c>
      <c r="Q92">
        <v>1</v>
      </c>
      <c r="R92" t="s">
        <v>199</v>
      </c>
      <c r="S92" t="s">
        <v>562</v>
      </c>
      <c r="T92" s="1" cm="1">
        <f t="array" ref="T92">MAX(IF(('История закупоку BUYER'!$R:$R&gt;0)*('История закупоку BUYER'!$A:$A=Список_товар_API[[#This Row],[Артикул]]),'История закупоку BUYER'!$C:$C))</f>
        <v>0</v>
      </c>
      <c r="U92" s="35">
        <f>+IFERROR(AVERAGEIFS('История закупоку BUYER'!R:R,'История закупоку BUYER'!A:A,A92,'История закупоку BUYER'!C:C,T92)+Список_товар_API[[#This Row],[Цена упаковки]]+Список_товар_API[[#This Row],[цена доставки]]+Список_товар_API[[#This Row],[Цена честного знака]],0)</f>
        <v>0</v>
      </c>
      <c r="V92" s="9">
        <f>VLOOKUP(Список_товар_API[[#This Row],[Артикул]],Стоимости_товаров_OZON[],24,0)</f>
        <v>0</v>
      </c>
      <c r="W92" s="35">
        <f>VLOOKUP(Список_товар_API[[#This Row],[Артикул]],Стоимости_товаров_OZON[],26,0)</f>
        <v>200</v>
      </c>
      <c r="X92">
        <v>50</v>
      </c>
      <c r="Y92">
        <v>30</v>
      </c>
      <c r="Z92">
        <v>10</v>
      </c>
      <c r="AB92" s="3"/>
    </row>
    <row r="93" spans="1:28" hidden="1" x14ac:dyDescent="0.3">
      <c r="A93" t="s">
        <v>321</v>
      </c>
      <c r="B93">
        <v>921893821</v>
      </c>
      <c r="C93">
        <v>1462534313</v>
      </c>
      <c r="D93" t="s">
        <v>322</v>
      </c>
      <c r="E93" t="s">
        <v>323</v>
      </c>
      <c r="F93" t="s">
        <v>321</v>
      </c>
      <c r="G93">
        <v>40</v>
      </c>
      <c r="H93">
        <v>150</v>
      </c>
      <c r="I93">
        <v>60</v>
      </c>
      <c r="J93" t="s">
        <v>196</v>
      </c>
      <c r="K93">
        <v>80</v>
      </c>
      <c r="L93" t="s">
        <v>197</v>
      </c>
      <c r="M93">
        <v>17029017</v>
      </c>
      <c r="N93">
        <v>91415</v>
      </c>
      <c r="O93" t="s">
        <v>199</v>
      </c>
      <c r="P93">
        <v>345920133</v>
      </c>
      <c r="Q93">
        <v>1</v>
      </c>
      <c r="R93" t="s">
        <v>199</v>
      </c>
      <c r="S93" t="s">
        <v>562</v>
      </c>
      <c r="T93" s="1" cm="1">
        <f t="array" ref="T93">MAX(IF(('История закупоку BUYER'!$R:$R&gt;0)*('История закупоку BUYER'!$A:$A=Список_товар_API[[#This Row],[Артикул]]),'История закупоку BUYER'!$C:$C))</f>
        <v>0</v>
      </c>
      <c r="U93" s="35">
        <f>+IFERROR(AVERAGEIFS('История закупоку BUYER'!R:R,'История закупоку BUYER'!A:A,A93,'История закупоку BUYER'!C:C,T93)+Список_товар_API[[#This Row],[Цена упаковки]]+Список_товар_API[[#This Row],[цена доставки]]+Список_товар_API[[#This Row],[Цена честного знака]],0)</f>
        <v>0</v>
      </c>
      <c r="V93" s="9">
        <f>VLOOKUP(Список_товар_API[[#This Row],[Артикул]],Стоимости_товаров_OZON[],24,0)</f>
        <v>0</v>
      </c>
      <c r="W93" s="35">
        <f>VLOOKUP(Список_товар_API[[#This Row],[Артикул]],Стоимости_товаров_OZON[],26,0)</f>
        <v>200</v>
      </c>
      <c r="X93">
        <v>50</v>
      </c>
      <c r="Y93">
        <v>30</v>
      </c>
      <c r="Z93">
        <v>10</v>
      </c>
      <c r="AB93" s="3"/>
    </row>
    <row r="94" spans="1:28" hidden="1" x14ac:dyDescent="0.3">
      <c r="A94" t="s">
        <v>324</v>
      </c>
      <c r="B94">
        <v>921904316</v>
      </c>
      <c r="C94">
        <v>1462543566</v>
      </c>
      <c r="D94" t="s">
        <v>325</v>
      </c>
      <c r="E94" t="s">
        <v>326</v>
      </c>
      <c r="F94" t="s">
        <v>324</v>
      </c>
      <c r="G94">
        <v>40</v>
      </c>
      <c r="H94">
        <v>100</v>
      </c>
      <c r="I94">
        <v>60</v>
      </c>
      <c r="J94" t="s">
        <v>196</v>
      </c>
      <c r="K94">
        <v>80</v>
      </c>
      <c r="L94" t="s">
        <v>197</v>
      </c>
      <c r="M94">
        <v>17029017</v>
      </c>
      <c r="N94">
        <v>91415</v>
      </c>
      <c r="O94" t="s">
        <v>327</v>
      </c>
      <c r="P94">
        <v>345923455</v>
      </c>
      <c r="Q94">
        <v>1</v>
      </c>
      <c r="R94" t="s">
        <v>199</v>
      </c>
      <c r="S94" t="s">
        <v>562</v>
      </c>
      <c r="T94" s="1" cm="1">
        <f t="array" ref="T94">MAX(IF(('История закупоку BUYER'!$R:$R&gt;0)*('История закупоку BUYER'!$A:$A=Список_товар_API[[#This Row],[Артикул]]),'История закупоку BUYER'!$C:$C))</f>
        <v>0</v>
      </c>
      <c r="U94" s="35">
        <f>+IFERROR(AVERAGEIFS('История закупоку BUYER'!R:R,'История закупоку BUYER'!A:A,A94,'История закупоку BUYER'!C:C,T94)+Список_товар_API[[#This Row],[Цена упаковки]]+Список_товар_API[[#This Row],[цена доставки]]+Список_товар_API[[#This Row],[Цена честного знака]],0)</f>
        <v>0</v>
      </c>
      <c r="V94" s="9">
        <f>VLOOKUP(Список_товар_API[[#This Row],[Артикул]],Стоимости_товаров_OZON[],24,0)</f>
        <v>0</v>
      </c>
      <c r="W94" s="35">
        <f>VLOOKUP(Список_товар_API[[#This Row],[Артикул]],Стоимости_товаров_OZON[],26,0)</f>
        <v>200</v>
      </c>
      <c r="X94">
        <v>50</v>
      </c>
      <c r="Y94">
        <v>30</v>
      </c>
      <c r="Z94">
        <v>10</v>
      </c>
      <c r="AB94" s="3"/>
    </row>
    <row r="95" spans="1:28" hidden="1" x14ac:dyDescent="0.3">
      <c r="A95" t="s">
        <v>328</v>
      </c>
      <c r="B95">
        <v>1028192644</v>
      </c>
      <c r="C95">
        <v>1553321016</v>
      </c>
      <c r="D95" t="s">
        <v>329</v>
      </c>
      <c r="E95" t="s">
        <v>330</v>
      </c>
      <c r="F95" t="s">
        <v>328</v>
      </c>
      <c r="G95">
        <v>50</v>
      </c>
      <c r="H95">
        <v>150</v>
      </c>
      <c r="I95">
        <v>150</v>
      </c>
      <c r="J95" t="s">
        <v>196</v>
      </c>
      <c r="K95">
        <v>250</v>
      </c>
      <c r="L95" t="s">
        <v>197</v>
      </c>
      <c r="M95">
        <v>17028649</v>
      </c>
      <c r="N95">
        <v>95272</v>
      </c>
      <c r="O95" t="s">
        <v>331</v>
      </c>
      <c r="P95">
        <v>55652331</v>
      </c>
      <c r="Q95">
        <v>1</v>
      </c>
      <c r="R95" t="s">
        <v>199</v>
      </c>
      <c r="S95" t="s">
        <v>562</v>
      </c>
      <c r="T95" s="1" cm="1">
        <f t="array" ref="T95">MAX(IF(('История закупоку BUYER'!$R:$R&gt;0)*('История закупоку BUYER'!$A:$A=Список_товар_API[[#This Row],[Артикул]]),'История закупоку BUYER'!$C:$C))</f>
        <v>0</v>
      </c>
      <c r="U95" s="35">
        <f>+IFERROR(AVERAGEIFS('История закупоку BUYER'!R:R,'История закупоку BUYER'!A:A,A95,'История закупоку BUYER'!C:C,T95)+Список_товар_API[[#This Row],[Цена упаковки]]+Список_товар_API[[#This Row],[цена доставки]]+Список_товар_API[[#This Row],[Цена честного знака]],0)</f>
        <v>0</v>
      </c>
      <c r="V95" s="9">
        <f>VLOOKUP(Список_товар_API[[#This Row],[Артикул]],Стоимости_товаров_OZON[],24,0)</f>
        <v>0</v>
      </c>
      <c r="W95" s="35">
        <f>VLOOKUP(Список_товар_API[[#This Row],[Артикул]],Стоимости_товаров_OZON[],26,0)</f>
        <v>3500</v>
      </c>
      <c r="X95">
        <v>50</v>
      </c>
      <c r="Y95">
        <v>30</v>
      </c>
      <c r="Z95">
        <v>10</v>
      </c>
    </row>
    <row r="96" spans="1:28" hidden="1" x14ac:dyDescent="0.3">
      <c r="A96" t="s">
        <v>332</v>
      </c>
      <c r="B96">
        <v>1028193647</v>
      </c>
      <c r="C96">
        <v>1553321483</v>
      </c>
      <c r="D96" t="s">
        <v>333</v>
      </c>
      <c r="E96" t="s">
        <v>334</v>
      </c>
      <c r="F96" t="s">
        <v>332</v>
      </c>
      <c r="G96">
        <v>50</v>
      </c>
      <c r="H96">
        <v>150</v>
      </c>
      <c r="I96">
        <v>150</v>
      </c>
      <c r="J96" t="s">
        <v>196</v>
      </c>
      <c r="K96">
        <v>250</v>
      </c>
      <c r="L96" t="s">
        <v>197</v>
      </c>
      <c r="M96">
        <v>17028649</v>
      </c>
      <c r="N96">
        <v>95272</v>
      </c>
      <c r="O96" t="s">
        <v>335</v>
      </c>
      <c r="P96">
        <v>371115094</v>
      </c>
      <c r="Q96">
        <v>2</v>
      </c>
      <c r="R96" t="s">
        <v>199</v>
      </c>
      <c r="S96" t="s">
        <v>562</v>
      </c>
      <c r="T96" s="1" cm="1">
        <f t="array" ref="T96">MAX(IF(('История закупоку BUYER'!$R:$R&gt;0)*('История закупоку BUYER'!$A:$A=Список_товар_API[[#This Row],[Артикул]]),'История закупоку BUYER'!$C:$C))</f>
        <v>45356</v>
      </c>
      <c r="U96" s="35">
        <f>+IFERROR(AVERAGEIFS('История закупоку BUYER'!R:R,'История закупоку BUYER'!A:A,A96,'История закупоку BUYER'!C:C,T96)+Список_товар_API[[#This Row],[Цена упаковки]]+Список_товар_API[[#This Row],[цена доставки]]+Список_товар_API[[#This Row],[Цена честного знака]],0)</f>
        <v>2187.039963321502</v>
      </c>
      <c r="V96" s="9">
        <f>VLOOKUP(Список_товар_API[[#This Row],[Артикул]],Стоимости_товаров_OZON[],24,0)</f>
        <v>0</v>
      </c>
      <c r="W96" s="35">
        <f>VLOOKUP(Список_товар_API[[#This Row],[Артикул]],Стоимости_товаров_OZON[],26,0)</f>
        <v>3500</v>
      </c>
      <c r="X96">
        <v>50</v>
      </c>
      <c r="Y96">
        <v>30</v>
      </c>
      <c r="Z96">
        <v>10</v>
      </c>
    </row>
    <row r="97" spans="1:26" hidden="1" x14ac:dyDescent="0.3">
      <c r="A97" t="s">
        <v>336</v>
      </c>
      <c r="B97">
        <v>1028194093</v>
      </c>
      <c r="C97">
        <v>1553323034</v>
      </c>
      <c r="D97" t="s">
        <v>337</v>
      </c>
      <c r="E97" t="s">
        <v>338</v>
      </c>
      <c r="F97" t="s">
        <v>336</v>
      </c>
      <c r="G97">
        <v>50</v>
      </c>
      <c r="H97">
        <v>150</v>
      </c>
      <c r="I97">
        <v>150</v>
      </c>
      <c r="J97" t="s">
        <v>196</v>
      </c>
      <c r="K97">
        <v>250</v>
      </c>
      <c r="L97" t="s">
        <v>197</v>
      </c>
      <c r="M97">
        <v>17028649</v>
      </c>
      <c r="N97">
        <v>95272</v>
      </c>
      <c r="O97" t="s">
        <v>339</v>
      </c>
      <c r="P97">
        <v>371115094</v>
      </c>
      <c r="Q97">
        <v>2</v>
      </c>
      <c r="R97" t="s">
        <v>199</v>
      </c>
      <c r="S97" t="s">
        <v>562</v>
      </c>
      <c r="T97" s="1" cm="1">
        <f t="array" ref="T97">MAX(IF(('История закупоку BUYER'!$R:$R&gt;0)*('История закупоку BUYER'!$A:$A=Список_товар_API[[#This Row],[Артикул]]),'История закупоку BUYER'!$C:$C))</f>
        <v>45356</v>
      </c>
      <c r="U97" s="35">
        <f>+IFERROR(AVERAGEIFS('История закупоку BUYER'!R:R,'История закупоку BUYER'!A:A,A97,'История закупоку BUYER'!C:C,T97)+Список_товар_API[[#This Row],[Цена упаковки]]+Список_товар_API[[#This Row],[цена доставки]]+Список_товар_API[[#This Row],[Цена честного знака]],0)</f>
        <v>2187.039963321502</v>
      </c>
      <c r="V97" s="9">
        <f>VLOOKUP(Список_товар_API[[#This Row],[Артикул]],Стоимости_товаров_OZON[],24,0)</f>
        <v>0</v>
      </c>
      <c r="W97" s="35">
        <f>VLOOKUP(Список_товар_API[[#This Row],[Артикул]],Стоимости_товаров_OZON[],26,0)</f>
        <v>3500</v>
      </c>
      <c r="X97">
        <v>50</v>
      </c>
      <c r="Y97">
        <v>30</v>
      </c>
      <c r="Z97">
        <v>10</v>
      </c>
    </row>
    <row r="98" spans="1:26" hidden="1" x14ac:dyDescent="0.3">
      <c r="A98" t="s">
        <v>340</v>
      </c>
      <c r="B98">
        <v>1422973930</v>
      </c>
      <c r="C98">
        <v>1886455617</v>
      </c>
      <c r="D98" t="s">
        <v>341</v>
      </c>
      <c r="E98" t="s">
        <v>342</v>
      </c>
      <c r="F98" t="s">
        <v>340</v>
      </c>
      <c r="G98">
        <v>50</v>
      </c>
      <c r="H98">
        <v>140</v>
      </c>
      <c r="I98">
        <v>120</v>
      </c>
      <c r="J98" t="s">
        <v>196</v>
      </c>
      <c r="K98">
        <v>250</v>
      </c>
      <c r="L98" t="s">
        <v>197</v>
      </c>
      <c r="M98">
        <v>17028649</v>
      </c>
      <c r="N98">
        <v>95272</v>
      </c>
      <c r="O98" t="s">
        <v>223</v>
      </c>
      <c r="P98">
        <v>519821560</v>
      </c>
      <c r="Q98">
        <v>1</v>
      </c>
      <c r="R98" t="s">
        <v>199</v>
      </c>
      <c r="S98" t="s">
        <v>562</v>
      </c>
      <c r="T98" s="1" cm="1">
        <f t="array" ref="T98">MAX(IF(('История закупоку BUYER'!$R:$R&gt;0)*('История закупоку BUYER'!$A:$A=Список_товар_API[[#This Row],[Артикул]]),'История закупоку BUYER'!$C:$C))</f>
        <v>0</v>
      </c>
      <c r="U98" s="35">
        <f>+IFERROR(AVERAGEIFS('История закупоку BUYER'!R:R,'История закупоку BUYER'!A:A,A98,'История закупоку BUYER'!C:C,T98)+Список_товар_API[[#This Row],[Цена упаковки]]+Список_товар_API[[#This Row],[цена доставки]]+Список_товар_API[[#This Row],[Цена честного знака]],0)</f>
        <v>0</v>
      </c>
      <c r="V98" s="9">
        <f>VLOOKUP(Список_товар_API[[#This Row],[Артикул]],Стоимости_товаров_OZON[],24,0)</f>
        <v>0</v>
      </c>
      <c r="W98" s="35">
        <f>VLOOKUP(Список_товар_API[[#This Row],[Артикул]],Стоимости_товаров_OZON[],26,0)</f>
        <v>4400</v>
      </c>
      <c r="X98">
        <v>50</v>
      </c>
      <c r="Y98">
        <v>30</v>
      </c>
      <c r="Z98">
        <v>10</v>
      </c>
    </row>
    <row r="99" spans="1:26" hidden="1" x14ac:dyDescent="0.3">
      <c r="A99" t="s">
        <v>343</v>
      </c>
      <c r="B99">
        <v>1423128376</v>
      </c>
      <c r="C99">
        <v>1886577158</v>
      </c>
      <c r="D99" t="s">
        <v>344</v>
      </c>
      <c r="E99" t="s">
        <v>345</v>
      </c>
      <c r="F99" t="s">
        <v>343</v>
      </c>
      <c r="G99">
        <v>50</v>
      </c>
      <c r="H99">
        <v>140</v>
      </c>
      <c r="I99">
        <v>120</v>
      </c>
      <c r="J99" t="s">
        <v>196</v>
      </c>
      <c r="K99">
        <v>250</v>
      </c>
      <c r="L99" t="s">
        <v>197</v>
      </c>
      <c r="M99">
        <v>17028649</v>
      </c>
      <c r="N99">
        <v>95272</v>
      </c>
      <c r="O99" t="s">
        <v>224</v>
      </c>
      <c r="P99">
        <v>519791687</v>
      </c>
      <c r="Q99">
        <v>1</v>
      </c>
      <c r="R99" t="s">
        <v>199</v>
      </c>
      <c r="S99" t="s">
        <v>562</v>
      </c>
      <c r="T99" s="1" cm="1">
        <f t="array" ref="T99">MAX(IF(('История закупоку BUYER'!$R:$R&gt;0)*('История закупоку BUYER'!$A:$A=Список_товар_API[[#This Row],[Артикул]]),'История закупоку BUYER'!$C:$C))</f>
        <v>0</v>
      </c>
      <c r="U99" s="35">
        <f>+IFERROR(AVERAGEIFS('История закупоку BUYER'!R:R,'История закупоку BUYER'!A:A,A99,'История закупоку BUYER'!C:C,T99)+Список_товар_API[[#This Row],[Цена упаковки]]+Список_товар_API[[#This Row],[цена доставки]]+Список_товар_API[[#This Row],[Цена честного знака]],0)</f>
        <v>0</v>
      </c>
      <c r="V99" s="9">
        <f>VLOOKUP(Список_товар_API[[#This Row],[Артикул]],Стоимости_товаров_OZON[],24,0)</f>
        <v>0</v>
      </c>
      <c r="W99" s="35">
        <f>VLOOKUP(Список_товар_API[[#This Row],[Артикул]],Стоимости_товаров_OZON[],26,0)</f>
        <v>4400</v>
      </c>
      <c r="X99">
        <v>50</v>
      </c>
      <c r="Y99">
        <v>30</v>
      </c>
      <c r="Z99">
        <v>10</v>
      </c>
    </row>
    <row r="100" spans="1:26" hidden="1" x14ac:dyDescent="0.3">
      <c r="A100" t="s">
        <v>346</v>
      </c>
      <c r="B100">
        <v>1423198484</v>
      </c>
      <c r="C100">
        <v>1886630924</v>
      </c>
      <c r="D100" t="s">
        <v>347</v>
      </c>
      <c r="E100" t="s">
        <v>348</v>
      </c>
      <c r="F100" t="s">
        <v>346</v>
      </c>
      <c r="G100">
        <v>50</v>
      </c>
      <c r="H100">
        <v>140</v>
      </c>
      <c r="I100">
        <v>120</v>
      </c>
      <c r="J100" t="s">
        <v>196</v>
      </c>
      <c r="K100">
        <v>250</v>
      </c>
      <c r="L100" t="s">
        <v>197</v>
      </c>
      <c r="M100">
        <v>17028649</v>
      </c>
      <c r="N100">
        <v>95272</v>
      </c>
      <c r="O100" t="s">
        <v>349</v>
      </c>
      <c r="P100">
        <v>519789197</v>
      </c>
      <c r="Q100">
        <v>1</v>
      </c>
      <c r="R100" t="s">
        <v>199</v>
      </c>
      <c r="S100" t="s">
        <v>562</v>
      </c>
      <c r="T100" s="1" cm="1">
        <f t="array" ref="T100">MAX(IF(('История закупоку BUYER'!$R:$R&gt;0)*('История закупоку BUYER'!$A:$A=Список_товар_API[[#This Row],[Артикул]]),'История закупоку BUYER'!$C:$C))</f>
        <v>0</v>
      </c>
      <c r="U100" s="35">
        <f>+IFERROR(AVERAGEIFS('История закупоку BUYER'!R:R,'История закупоку BUYER'!A:A,A100,'История закупоку BUYER'!C:C,T100)+Список_товар_API[[#This Row],[Цена упаковки]]+Список_товар_API[[#This Row],[цена доставки]]+Список_товар_API[[#This Row],[Цена честного знака]],0)</f>
        <v>0</v>
      </c>
      <c r="V100" s="9">
        <f>VLOOKUP(Список_товар_API[[#This Row],[Артикул]],Стоимости_товаров_OZON[],24,0)</f>
        <v>0</v>
      </c>
      <c r="W100" s="35">
        <f>VLOOKUP(Список_товар_API[[#This Row],[Артикул]],Стоимости_товаров_OZON[],26,0)</f>
        <v>4400</v>
      </c>
      <c r="X100">
        <v>50</v>
      </c>
      <c r="Y100">
        <v>30</v>
      </c>
      <c r="Z100">
        <v>10</v>
      </c>
    </row>
    <row r="101" spans="1:26" hidden="1" x14ac:dyDescent="0.3">
      <c r="A101" t="s">
        <v>350</v>
      </c>
      <c r="B101">
        <v>1451612729</v>
      </c>
      <c r="C101">
        <v>1908727434</v>
      </c>
      <c r="D101" t="s">
        <v>351</v>
      </c>
      <c r="E101" t="s">
        <v>66</v>
      </c>
      <c r="F101" t="s">
        <v>350</v>
      </c>
      <c r="G101">
        <v>100</v>
      </c>
      <c r="H101">
        <v>350</v>
      </c>
      <c r="I101">
        <v>80</v>
      </c>
      <c r="J101" t="s">
        <v>196</v>
      </c>
      <c r="K101">
        <v>500</v>
      </c>
      <c r="L101" t="s">
        <v>197</v>
      </c>
      <c r="M101">
        <v>17028973</v>
      </c>
      <c r="N101">
        <v>92843</v>
      </c>
      <c r="O101" t="s">
        <v>352</v>
      </c>
      <c r="P101">
        <v>358633050</v>
      </c>
      <c r="Q101">
        <v>23</v>
      </c>
      <c r="R101" t="s">
        <v>199</v>
      </c>
      <c r="S101" t="s">
        <v>562</v>
      </c>
      <c r="T101" s="1" cm="1">
        <f t="array" ref="T101">MAX(IF(('История закупоку BUYER'!$R:$R&gt;0)*('История закупоку BUYER'!$A:$A=Список_товар_API[[#This Row],[Артикул]]),'История закупоку BUYER'!$C:$C))</f>
        <v>0</v>
      </c>
      <c r="U101" s="35">
        <f>+IFERROR(AVERAGEIFS('История закупоку BUYER'!R:R,'История закупоку BUYER'!A:A,A101,'История закупоку BUYER'!C:C,T101)+Список_товар_API[[#This Row],[Цена упаковки]]+Список_товар_API[[#This Row],[цена доставки]]+Список_товар_API[[#This Row],[Цена честного знака]],0)</f>
        <v>0</v>
      </c>
      <c r="V101" s="9">
        <f>VLOOKUP(Список_товар_API[[#This Row],[Артикул]],Стоимости_товаров_OZON[],24,0)</f>
        <v>0</v>
      </c>
      <c r="W101" s="35">
        <f>VLOOKUP(Список_товар_API[[#This Row],[Артикул]],Стоимости_товаров_OZON[],26,0)</f>
        <v>2200</v>
      </c>
      <c r="X101">
        <v>50</v>
      </c>
      <c r="Y101">
        <v>30</v>
      </c>
      <c r="Z101">
        <v>10</v>
      </c>
    </row>
    <row r="102" spans="1:26" hidden="1" x14ac:dyDescent="0.3">
      <c r="A102" t="s">
        <v>353</v>
      </c>
      <c r="B102">
        <v>1756940283</v>
      </c>
      <c r="C102">
        <v>2127752917</v>
      </c>
      <c r="D102" t="s">
        <v>354</v>
      </c>
      <c r="E102" t="s">
        <v>355</v>
      </c>
      <c r="F102" t="s">
        <v>353</v>
      </c>
      <c r="G102">
        <v>90</v>
      </c>
      <c r="H102">
        <v>300</v>
      </c>
      <c r="I102">
        <v>80</v>
      </c>
      <c r="J102" t="s">
        <v>196</v>
      </c>
      <c r="K102">
        <v>400</v>
      </c>
      <c r="L102" t="s">
        <v>197</v>
      </c>
      <c r="M102">
        <v>17028973</v>
      </c>
      <c r="N102">
        <v>92843</v>
      </c>
      <c r="O102" t="s">
        <v>356</v>
      </c>
      <c r="P102">
        <v>572160630</v>
      </c>
      <c r="Q102">
        <v>1</v>
      </c>
      <c r="R102" t="s">
        <v>199</v>
      </c>
      <c r="S102" t="s">
        <v>562</v>
      </c>
      <c r="T102" s="1" cm="1">
        <f t="array" ref="T102">MAX(IF(('История закупоку BUYER'!$R:$R&gt;0)*('История закупоку BUYER'!$A:$A=Список_товар_API[[#This Row],[Артикул]]),'История закупоку BUYER'!$C:$C))</f>
        <v>0</v>
      </c>
      <c r="U102" s="35">
        <f>+IFERROR(AVERAGEIFS('История закупоку BUYER'!R:R,'История закупоку BUYER'!A:A,A102,'История закупоку BUYER'!C:C,T102)+Список_товар_API[[#This Row],[Цена упаковки]]+Список_товар_API[[#This Row],[цена доставки]]+Список_товар_API[[#This Row],[Цена честного знака]],0)</f>
        <v>0</v>
      </c>
      <c r="V102" s="9">
        <f>VLOOKUP(Список_товар_API[[#This Row],[Артикул]],Стоимости_товаров_OZON[],24,0)</f>
        <v>0</v>
      </c>
      <c r="W102" s="35">
        <f>VLOOKUP(Список_товар_API[[#This Row],[Артикул]],Стоимости_товаров_OZON[],26,0)</f>
        <v>2000</v>
      </c>
      <c r="X102">
        <v>50</v>
      </c>
      <c r="Y102">
        <v>30</v>
      </c>
      <c r="Z102">
        <v>10</v>
      </c>
    </row>
    <row r="103" spans="1:26" hidden="1" x14ac:dyDescent="0.3">
      <c r="A103" t="s">
        <v>177</v>
      </c>
      <c r="B103">
        <v>1757085396</v>
      </c>
      <c r="C103">
        <v>2127867944</v>
      </c>
      <c r="D103" t="s">
        <v>250</v>
      </c>
      <c r="E103" t="s">
        <v>601</v>
      </c>
      <c r="F103" t="s">
        <v>177</v>
      </c>
      <c r="G103">
        <v>100</v>
      </c>
      <c r="H103">
        <v>300</v>
      </c>
      <c r="I103">
        <v>500</v>
      </c>
      <c r="J103" t="s">
        <v>196</v>
      </c>
      <c r="K103">
        <v>1000</v>
      </c>
      <c r="L103" t="s">
        <v>197</v>
      </c>
      <c r="M103">
        <v>17028946</v>
      </c>
      <c r="N103">
        <v>94715</v>
      </c>
      <c r="O103" t="s">
        <v>602</v>
      </c>
      <c r="P103">
        <v>572219835</v>
      </c>
      <c r="Q103">
        <v>1</v>
      </c>
      <c r="R103" t="s">
        <v>199</v>
      </c>
      <c r="S103" t="s">
        <v>562</v>
      </c>
      <c r="T103" s="1" cm="1">
        <f t="array" ref="T103">MAX(IF(('История закупоку BUYER'!$R:$R&gt;0)*('История закупоку BUYER'!$A:$A=Список_товар_API[[#This Row],[Артикул]]),'История закупоку BUYER'!$C:$C))</f>
        <v>45748</v>
      </c>
      <c r="U103" s="35">
        <f>+IFERROR(AVERAGEIFS('История закупоку BUYER'!R:R,'История закупоку BUYER'!A:A,A103,'История закупоку BUYER'!C:C,T103)+Список_товар_API[[#This Row],[Цена упаковки]]+Список_товар_API[[#This Row],[цена доставки]]+Список_товар_API[[#This Row],[Цена честного знака]],0)</f>
        <v>1481.0890077844313</v>
      </c>
      <c r="V103" s="9">
        <f>VLOOKUP(Список_товар_API[[#This Row],[Артикул]],Стоимости_товаров_OZON[],24,0)</f>
        <v>1200</v>
      </c>
      <c r="W103" s="35">
        <f>VLOOKUP(Список_товар_API[[#This Row],[Артикул]],Стоимости_товаров_OZON[],26,0)</f>
        <v>1264</v>
      </c>
      <c r="X103">
        <v>50</v>
      </c>
      <c r="Y103">
        <v>30</v>
      </c>
      <c r="Z103">
        <v>10</v>
      </c>
    </row>
    <row r="104" spans="1:26" hidden="1" x14ac:dyDescent="0.3">
      <c r="A104" t="s">
        <v>607</v>
      </c>
      <c r="B104">
        <v>2327546092</v>
      </c>
      <c r="C104">
        <v>2576060673</v>
      </c>
      <c r="D104" t="s">
        <v>608</v>
      </c>
      <c r="E104" t="s">
        <v>609</v>
      </c>
      <c r="F104" t="s">
        <v>607</v>
      </c>
      <c r="G104">
        <v>140</v>
      </c>
      <c r="H104">
        <v>450</v>
      </c>
      <c r="I104">
        <v>230</v>
      </c>
      <c r="J104" t="s">
        <v>196</v>
      </c>
      <c r="K104">
        <v>3500</v>
      </c>
      <c r="L104" t="s">
        <v>197</v>
      </c>
      <c r="M104">
        <v>17028921</v>
      </c>
      <c r="N104">
        <v>96851</v>
      </c>
      <c r="O104" t="s">
        <v>610</v>
      </c>
      <c r="P104">
        <v>391994482</v>
      </c>
      <c r="Q104">
        <v>1</v>
      </c>
      <c r="R104" t="s">
        <v>199</v>
      </c>
      <c r="S104" t="s">
        <v>562</v>
      </c>
      <c r="T104" s="1" cm="1">
        <f t="array" ref="T104">MAX(IF(('История закупоку BUYER'!$R:$R&gt;0)*('История закупоку BUYER'!$A:$A=Список_товар_API[[#This Row],[Артикул]]),'История закупоку BUYER'!$C:$C))</f>
        <v>0</v>
      </c>
      <c r="U104" s="35">
        <f>+IFERROR(AVERAGEIFS('История закупоку BUYER'!R:R,'История закупоку BUYER'!A:A,A104,'История закупоку BUYER'!C:C,T104)+Список_товар_API[[#This Row],[Цена упаковки]]+Список_товар_API[[#This Row],[цена доставки]]+Список_товар_API[[#This Row],[Цена честного знака]],0)</f>
        <v>0</v>
      </c>
      <c r="V104" s="9">
        <f>VLOOKUP(Список_товар_API[[#This Row],[Артикул]],Стоимости_товаров_OZON[],24,0)</f>
        <v>0</v>
      </c>
      <c r="W104" s="35">
        <f>VLOOKUP(Список_товар_API[[#This Row],[Артикул]],Стоимости_товаров_OZON[],26,0)</f>
        <v>14500</v>
      </c>
      <c r="X104">
        <v>50</v>
      </c>
      <c r="Y104">
        <v>30</v>
      </c>
      <c r="Z104">
        <v>10</v>
      </c>
    </row>
  </sheetData>
  <phoneticPr fontId="25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1328-3D45-4ABB-8C4D-B2A1A6EE427E}">
  <sheetPr codeName="Лист6"/>
  <dimension ref="A1:AJ10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0" sqref="C10"/>
    </sheetView>
  </sheetViews>
  <sheetFormatPr defaultRowHeight="14.4" x14ac:dyDescent="0.3"/>
  <cols>
    <col min="1" max="1" width="13.6640625" bestFit="1" customWidth="1"/>
    <col min="2" max="3" width="11" bestFit="1" customWidth="1"/>
    <col min="4" max="4" width="14.6640625" bestFit="1" customWidth="1"/>
    <col min="5" max="5" width="97.6640625" bestFit="1" customWidth="1"/>
    <col min="6" max="6" width="12" bestFit="1" customWidth="1"/>
    <col min="7" max="7" width="28.33203125" bestFit="1" customWidth="1"/>
    <col min="8" max="8" width="19.88671875" bestFit="1" customWidth="1"/>
    <col min="9" max="9" width="18" style="3" bestFit="1" customWidth="1"/>
    <col min="10" max="10" width="28.88671875" style="3" bestFit="1" customWidth="1"/>
    <col min="11" max="11" width="22.109375" style="3" bestFit="1" customWidth="1"/>
    <col min="12" max="12" width="22.109375" style="3" customWidth="1"/>
    <col min="13" max="13" width="14" style="3" bestFit="1" customWidth="1"/>
    <col min="14" max="14" width="25.33203125" style="3" bestFit="1" customWidth="1"/>
    <col min="15" max="15" width="18.44140625" style="3" bestFit="1" customWidth="1"/>
    <col min="16" max="16" width="7.6640625" style="3" customWidth="1"/>
  </cols>
  <sheetData>
    <row r="1" spans="1:36" x14ac:dyDescent="0.3">
      <c r="A1" t="s">
        <v>0</v>
      </c>
      <c r="B1" t="s">
        <v>130</v>
      </c>
      <c r="C1" t="s">
        <v>195</v>
      </c>
      <c r="D1" t="s">
        <v>180</v>
      </c>
      <c r="E1" t="s">
        <v>181</v>
      </c>
      <c r="F1" s="29" t="s">
        <v>563</v>
      </c>
      <c r="G1" s="23" t="s">
        <v>556</v>
      </c>
      <c r="H1" s="28" t="s">
        <v>544</v>
      </c>
      <c r="I1" s="24" t="s">
        <v>555</v>
      </c>
      <c r="J1" s="24" t="s">
        <v>557</v>
      </c>
      <c r="K1" s="24" t="s">
        <v>548</v>
      </c>
      <c r="L1" s="24" t="s">
        <v>558</v>
      </c>
      <c r="M1" s="24" t="s">
        <v>546</v>
      </c>
      <c r="N1" s="24" t="s">
        <v>559</v>
      </c>
      <c r="O1" s="24" t="s">
        <v>547</v>
      </c>
      <c r="P1" s="24"/>
    </row>
    <row r="2" spans="1:36" x14ac:dyDescent="0.3">
      <c r="A2" t="s">
        <v>131</v>
      </c>
      <c r="E2" t="s">
        <v>52</v>
      </c>
      <c r="F2" t="str">
        <f>UPPER(VLOOKUP(Обновление_цен[[#This Row],[Артикул]],Список_товар_API[],19,0))</f>
        <v>ACTUAL</v>
      </c>
      <c r="G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2" s="28" t="s">
        <v>621</v>
      </c>
      <c r="I2" s="3">
        <f>VLOOKUP(Обновление_цен[[#This Row],[Артикул]],Список_товар_API[],21,0)</f>
        <v>2099.0222165169853</v>
      </c>
      <c r="J2" s="3">
        <f>VLOOKUP(Обновление_цен[[#This Row],[Артикул]],Стоимости_товаров_OZON[],24,0)</f>
        <v>5160</v>
      </c>
      <c r="K2" s="3">
        <f>ROUNDUP(VLOOKUP(Обновление_цен[[#This Row],[Артикул]],Стоимости_товаров_OZON[],50,0),0)</f>
        <v>5168</v>
      </c>
      <c r="L2" s="3">
        <f>VLOOKUP(Обновление_цен[[#This Row],[Артикул]],Стоимости_товаров_OZON[],26,0)</f>
        <v>6844</v>
      </c>
      <c r="M2" s="3">
        <f>VLOOKUP(Обновление_цен[[#This Row],[Артикул]],Стоимости_товаров_OZON[],52,0)</f>
        <v>6854.35</v>
      </c>
      <c r="N2" s="3">
        <f>VLOOKUP(Обновление_цен[[#This Row],[Артикул]],Стоимости_товаров_OZON[],25,0)</f>
        <v>9646</v>
      </c>
      <c r="O2" s="3">
        <f>(Обновление_цен[[#This Row],[Себестоимость]]*4.5)+200</f>
        <v>9645.5999743264329</v>
      </c>
    </row>
    <row r="3" spans="1:36" x14ac:dyDescent="0.3">
      <c r="A3" t="s">
        <v>132</v>
      </c>
      <c r="E3" t="s">
        <v>50</v>
      </c>
      <c r="F3" t="str">
        <f>UPPER(VLOOKUP(Обновление_цен[[#This Row],[Артикул]],Список_товар_API[],19,0))</f>
        <v>ACTUAL</v>
      </c>
      <c r="G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3" s="28" t="s">
        <v>621</v>
      </c>
      <c r="I3" s="3">
        <f>VLOOKUP(Обновление_цен[[#This Row],[Артикул]],Список_товар_API[],21,0)</f>
        <v>2099.0222165169853</v>
      </c>
      <c r="J3" s="3">
        <f>VLOOKUP(Обновление_цен[[#This Row],[Артикул]],Стоимости_товаров_OZON[],24,0)</f>
        <v>5144</v>
      </c>
      <c r="K3" s="3">
        <f>ROUNDUP(VLOOKUP(Обновление_цен[[#This Row],[Артикул]],Стоимости_товаров_OZON[],50,0),0)</f>
        <v>5151</v>
      </c>
      <c r="L3" s="3">
        <f>VLOOKUP(Обновление_цен[[#This Row],[Артикул]],Стоимости_товаров_OZON[],26,0)</f>
        <v>6816</v>
      </c>
      <c r="M3" s="3">
        <f>VLOOKUP(Обновление_цен[[#This Row],[Артикул]],Стоимости_товаров_OZON[],52,0)</f>
        <v>6825.92</v>
      </c>
      <c r="N3" s="3">
        <f>VLOOKUP(Обновление_цен[[#This Row],[Артикул]],Стоимости_товаров_OZON[],25,0)</f>
        <v>9646</v>
      </c>
      <c r="O3" s="3">
        <f>(Обновление_цен[[#This Row],[Себестоимость]]*4.5)+200</f>
        <v>9645.5999743264329</v>
      </c>
    </row>
    <row r="4" spans="1:36" x14ac:dyDescent="0.3">
      <c r="A4" t="s">
        <v>134</v>
      </c>
      <c r="E4" t="s">
        <v>56</v>
      </c>
      <c r="F4" t="str">
        <f>UPPER(VLOOKUP(Обновление_цен[[#This Row],[Артикул]],Список_товар_API[],19,0))</f>
        <v>ACTUAL</v>
      </c>
      <c r="G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" s="28" t="s">
        <v>621</v>
      </c>
      <c r="I4" s="3">
        <f>VLOOKUP(Обновление_цен[[#This Row],[Артикул]],Список_товар_API[],21,0)</f>
        <v>626.62465838486889</v>
      </c>
      <c r="J4" s="3">
        <f>VLOOKUP(Обновление_цен[[#This Row],[Артикул]],Стоимости_товаров_OZON[],24,0)</f>
        <v>1563</v>
      </c>
      <c r="K4" s="3">
        <f>ROUNDUP(VLOOKUP(Обновление_цен[[#This Row],[Артикул]],Стоимости_товаров_OZON[],50,0),0)</f>
        <v>2086</v>
      </c>
      <c r="L4" s="3">
        <f>VLOOKUP(Обновление_цен[[#This Row],[Артикул]],Стоимости_товаров_OZON[],26,0)</f>
        <v>2087</v>
      </c>
      <c r="M4" s="3">
        <f>VLOOKUP(Обновление_цен[[#This Row],[Артикул]],Стоимости_товаров_OZON[],52,0)</f>
        <v>3136.45</v>
      </c>
      <c r="N4" s="3">
        <f>VLOOKUP(Обновление_цен[[#This Row],[Артикул]],Стоимости_товаров_OZON[],25,0)</f>
        <v>3001</v>
      </c>
      <c r="O4" s="3">
        <f>(Обновление_цен[[#This Row],[Себестоимость]]*4.5)+200</f>
        <v>3019.81096273191</v>
      </c>
    </row>
    <row r="5" spans="1:36" x14ac:dyDescent="0.3">
      <c r="A5" t="s">
        <v>135</v>
      </c>
      <c r="E5" t="s">
        <v>58</v>
      </c>
      <c r="F5" t="str">
        <f>UPPER(VLOOKUP(Обновление_цен[[#This Row],[Артикул]],Список_товар_API[],19,0))</f>
        <v>ACTUAL</v>
      </c>
      <c r="G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5" s="28" t="s">
        <v>621</v>
      </c>
      <c r="I5" s="3">
        <f>VLOOKUP(Обновление_цен[[#This Row],[Артикул]],Список_товар_API[],21,0)</f>
        <v>776.15354630789511</v>
      </c>
      <c r="J5" s="3">
        <f>VLOOKUP(Обновление_цен[[#This Row],[Артикул]],Стоимости_товаров_OZON[],24,0)</f>
        <v>1883</v>
      </c>
      <c r="K5" s="3">
        <f>ROUNDUP(VLOOKUP(Обновление_цен[[#This Row],[Артикул]],Стоимости_товаров_OZON[],50,0),0)</f>
        <v>2491</v>
      </c>
      <c r="L5" s="3">
        <f>VLOOKUP(Обновление_цен[[#This Row],[Артикул]],Стоимости_товаров_OZON[],26,0)</f>
        <v>2492</v>
      </c>
      <c r="M5" s="3">
        <f>VLOOKUP(Обновление_цен[[#This Row],[Артикул]],Стоимости_товаров_OZON[],52,0)</f>
        <v>3681.09</v>
      </c>
      <c r="N5" s="3">
        <f>VLOOKUP(Обновление_цен[[#This Row],[Артикул]],Стоимости_товаров_OZON[],25,0)</f>
        <v>3666</v>
      </c>
      <c r="O5" s="3">
        <f>(Обновление_цен[[#This Row],[Себестоимость]]*4.5)+200</f>
        <v>3692.6909583855281</v>
      </c>
    </row>
    <row r="6" spans="1:36" x14ac:dyDescent="0.3">
      <c r="A6" t="s">
        <v>136</v>
      </c>
      <c r="E6" t="s">
        <v>60</v>
      </c>
      <c r="F6" t="str">
        <f>UPPER(VLOOKUP(Обновление_цен[[#This Row],[Артикул]],Список_товар_API[],19,0))</f>
        <v>ACTUAL</v>
      </c>
      <c r="G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" s="28" t="s">
        <v>621</v>
      </c>
      <c r="I6" s="3">
        <f>VLOOKUP(Обновление_цен[[#This Row],[Артикул]],Список_товар_API[],21,0)</f>
        <v>794.09269976296378</v>
      </c>
      <c r="J6" s="3">
        <f>VLOOKUP(Обновление_цен[[#This Row],[Артикул]],Стоимости_товаров_OZON[],24,0)</f>
        <v>1989</v>
      </c>
      <c r="K6" s="3">
        <f>ROUNDUP(VLOOKUP(Обновление_цен[[#This Row],[Артикул]],Стоимости_товаров_OZON[],50,0),0)</f>
        <v>2652</v>
      </c>
      <c r="L6" s="3">
        <f>VLOOKUP(Обновление_цен[[#This Row],[Артикул]],Стоимости_товаров_OZON[],26,0)</f>
        <v>2700</v>
      </c>
      <c r="M6" s="3">
        <f>VLOOKUP(Обновление_цен[[#This Row],[Артикул]],Стоимости_товаров_OZON[],52,0)</f>
        <v>3994.56</v>
      </c>
      <c r="N6" s="3">
        <f>VLOOKUP(Обновление_цен[[#This Row],[Артикул]],Стоимости_товаров_OZON[],25,0)</f>
        <v>3749</v>
      </c>
      <c r="O6" s="3">
        <f>(Обновление_цен[[#This Row],[Себестоимость]]*4.5)+200</f>
        <v>3773.4171489333371</v>
      </c>
    </row>
    <row r="7" spans="1:36" x14ac:dyDescent="0.3">
      <c r="A7" t="s">
        <v>137</v>
      </c>
      <c r="E7" t="s">
        <v>62</v>
      </c>
      <c r="F7" t="str">
        <f>UPPER(VLOOKUP(Обновление_цен[[#This Row],[Артикул]],Список_товар_API[],19,0))</f>
        <v>ACTUAL</v>
      </c>
      <c r="G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" s="28" t="s">
        <v>621</v>
      </c>
      <c r="I7" s="3">
        <f>VLOOKUP(Обновление_цен[[#This Row],[Артикул]],Список_товар_API[],21,0)</f>
        <v>776.15354630789511</v>
      </c>
      <c r="J7" s="3">
        <f>VLOOKUP(Обновление_цен[[#This Row],[Артикул]],Стоимости_товаров_OZON[],24,0)</f>
        <v>1883</v>
      </c>
      <c r="K7" s="3">
        <f>ROUNDUP(VLOOKUP(Обновление_цен[[#This Row],[Артикул]],Стоимости_товаров_OZON[],50,0),0)</f>
        <v>2491</v>
      </c>
      <c r="L7" s="3">
        <f>VLOOKUP(Обновление_цен[[#This Row],[Артикул]],Стоимости_товаров_OZON[],26,0)</f>
        <v>2492</v>
      </c>
      <c r="M7" s="3">
        <f>VLOOKUP(Обновление_цен[[#This Row],[Артикул]],Стоимости_товаров_OZON[],52,0)</f>
        <v>3681.09</v>
      </c>
      <c r="N7" s="3">
        <f>VLOOKUP(Обновление_цен[[#This Row],[Артикул]],Стоимости_товаров_OZON[],25,0)</f>
        <v>3666</v>
      </c>
      <c r="O7" s="3">
        <f>(Обновление_цен[[#This Row],[Себестоимость]]*4.5)+200</f>
        <v>3692.6909583855281</v>
      </c>
    </row>
    <row r="8" spans="1:36" x14ac:dyDescent="0.3">
      <c r="A8" t="s">
        <v>138</v>
      </c>
      <c r="E8" t="s">
        <v>64</v>
      </c>
      <c r="F8" t="str">
        <f>UPPER(VLOOKUP(Обновление_цен[[#This Row],[Артикул]],Список_товар_API[],19,0))</f>
        <v>ACTUAL</v>
      </c>
      <c r="G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" s="28" t="s">
        <v>621</v>
      </c>
      <c r="I8" s="3">
        <f>VLOOKUP(Обновление_цен[[#This Row],[Артикул]],Список_товар_API[],21,0)</f>
        <v>776.15354630789511</v>
      </c>
      <c r="J8" s="3">
        <f>VLOOKUP(Обновление_цен[[#This Row],[Артикул]],Стоимости_товаров_OZON[],24,0)</f>
        <v>1946</v>
      </c>
      <c r="K8" s="3">
        <f>ROUNDUP(VLOOKUP(Обновление_цен[[#This Row],[Артикул]],Стоимости_товаров_OZON[],50,0),0)</f>
        <v>2603</v>
      </c>
      <c r="L8" s="3">
        <f>VLOOKUP(Обновление_цен[[#This Row],[Артикул]],Стоимости_товаров_OZON[],26,0)</f>
        <v>2603</v>
      </c>
      <c r="M8" s="3">
        <f>VLOOKUP(Обновление_цен[[#This Row],[Артикул]],Стоимости_товаров_OZON[],52,0)</f>
        <v>3930.64</v>
      </c>
      <c r="N8" s="3">
        <f>VLOOKUP(Обновление_цен[[#This Row],[Артикул]],Стоимости_товаров_OZON[],25,0)</f>
        <v>3666</v>
      </c>
      <c r="O8" s="3">
        <f>(Обновление_цен[[#This Row],[Себестоимость]]*4.5)+200</f>
        <v>3692.6909583855281</v>
      </c>
    </row>
    <row r="9" spans="1:36" x14ac:dyDescent="0.3">
      <c r="A9" t="s">
        <v>139</v>
      </c>
      <c r="E9" t="s">
        <v>66</v>
      </c>
      <c r="F9" t="str">
        <f>UPPER(VLOOKUP(Обновление_цен[[#This Row],[Артикул]],Список_товар_API[],19,0))</f>
        <v>ACTUAL</v>
      </c>
      <c r="G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" s="28" t="s">
        <v>621</v>
      </c>
      <c r="I9" s="3">
        <f>VLOOKUP(Обновление_цен[[#This Row],[Артикул]],Список_товар_API[],21,0)</f>
        <v>626.62465838486889</v>
      </c>
      <c r="J9" s="3">
        <f>VLOOKUP(Обновление_цен[[#This Row],[Артикул]],Стоимости_товаров_OZON[],24,0)</f>
        <v>1609</v>
      </c>
      <c r="K9" s="3">
        <f>ROUNDUP(VLOOKUP(Обновление_цен[[#This Row],[Артикул]],Стоимости_товаров_OZON[],50,0),0)</f>
        <v>2169</v>
      </c>
      <c r="L9" s="3">
        <f>VLOOKUP(Обновление_цен[[#This Row],[Артикул]],Стоимости_товаров_OZON[],26,0)</f>
        <v>2169</v>
      </c>
      <c r="M9" s="3">
        <f>VLOOKUP(Обновление_цен[[#This Row],[Артикул]],Стоимости_товаров_OZON[],52,0)</f>
        <v>3328.44</v>
      </c>
      <c r="N9" s="3">
        <f>VLOOKUP(Обновление_цен[[#This Row],[Артикул]],Стоимости_товаров_OZON[],25,0)</f>
        <v>3001</v>
      </c>
      <c r="O9" s="3">
        <f>(Обновление_цен[[#This Row],[Себестоимость]]*4.5)+200</f>
        <v>3019.81096273191</v>
      </c>
    </row>
    <row r="10" spans="1:36" x14ac:dyDescent="0.3">
      <c r="A10" t="s">
        <v>140</v>
      </c>
      <c r="E10" t="s">
        <v>68</v>
      </c>
      <c r="F10" t="str">
        <f>UPPER(VLOOKUP(Обновление_цен[[#This Row],[Артикул]],Список_товар_API[],19,0))</f>
        <v>ACTUAL</v>
      </c>
      <c r="G1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0" s="28" t="s">
        <v>621</v>
      </c>
      <c r="I10" s="3">
        <f>VLOOKUP(Обновление_цен[[#This Row],[Артикул]],Список_товар_API[],21,0)</f>
        <v>626.62465838486889</v>
      </c>
      <c r="J10" s="3">
        <f>VLOOKUP(Обновление_цен[[#This Row],[Артикул]],Стоимости_товаров_OZON[],24,0)</f>
        <v>1582</v>
      </c>
      <c r="K10" s="3">
        <f>ROUNDUP(VLOOKUP(Обновление_цен[[#This Row],[Артикул]],Стоимости_товаров_OZON[],50,0),0)</f>
        <v>2119</v>
      </c>
      <c r="L10" s="3">
        <f>VLOOKUP(Обновление_цен[[#This Row],[Артикул]],Стоимости_товаров_OZON[],26,0)</f>
        <v>2120</v>
      </c>
      <c r="M10" s="3">
        <f>VLOOKUP(Обновление_цен[[#This Row],[Артикул]],Стоимости_товаров_OZON[],52,0)</f>
        <v>3212.43</v>
      </c>
      <c r="N10" s="3">
        <f>VLOOKUP(Обновление_цен[[#This Row],[Артикул]],Стоимости_товаров_OZON[],25,0)</f>
        <v>3001</v>
      </c>
      <c r="O10" s="3">
        <f>(Обновление_цен[[#This Row],[Себестоимость]]*4.5)+200</f>
        <v>3019.81096273191</v>
      </c>
    </row>
    <row r="11" spans="1:36" x14ac:dyDescent="0.3">
      <c r="A11" t="s">
        <v>141</v>
      </c>
      <c r="E11" t="s">
        <v>70</v>
      </c>
      <c r="F11" t="str">
        <f>UPPER(VLOOKUP(Обновление_цен[[#This Row],[Артикул]],Список_товар_API[],19,0))</f>
        <v>ACTUAL</v>
      </c>
      <c r="G1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1" s="28" t="s">
        <v>621</v>
      </c>
      <c r="I11" s="3">
        <f>VLOOKUP(Обновление_цен[[#This Row],[Артикул]],Список_товар_API[],21,0)</f>
        <v>776.15354630789511</v>
      </c>
      <c r="J11" s="3">
        <f>VLOOKUP(Обновление_цен[[#This Row],[Артикул]],Стоимости_товаров_OZON[],24,0)</f>
        <v>1883</v>
      </c>
      <c r="K11" s="3">
        <f>ROUNDUP(VLOOKUP(Обновление_цен[[#This Row],[Артикул]],Стоимости_товаров_OZON[],50,0),0)</f>
        <v>2491</v>
      </c>
      <c r="L11" s="3">
        <f>VLOOKUP(Обновление_цен[[#This Row],[Артикул]],Стоимости_товаров_OZON[],26,0)</f>
        <v>2492</v>
      </c>
      <c r="M11" s="3">
        <f>VLOOKUP(Обновление_цен[[#This Row],[Артикул]],Стоимости_товаров_OZON[],52,0)</f>
        <v>3681.09</v>
      </c>
      <c r="N11" s="3">
        <f>VLOOKUP(Обновление_цен[[#This Row],[Артикул]],Стоимости_товаров_OZON[],25,0)</f>
        <v>3666</v>
      </c>
      <c r="O11" s="3">
        <f>(Обновление_цен[[#This Row],[Себестоимость]]*4.5)+200</f>
        <v>3692.6909583855281</v>
      </c>
    </row>
    <row r="12" spans="1:36" x14ac:dyDescent="0.3">
      <c r="A12" t="s">
        <v>142</v>
      </c>
      <c r="E12" t="s">
        <v>72</v>
      </c>
      <c r="F12" t="str">
        <f>UPPER(VLOOKUP(Обновление_цен[[#This Row],[Артикул]],Список_товар_API[],19,0))</f>
        <v>ACTUAL</v>
      </c>
      <c r="G1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2" s="28" t="s">
        <v>621</v>
      </c>
      <c r="I12" s="3">
        <f>VLOOKUP(Обновление_цен[[#This Row],[Артикул]],Список_товар_API[],21,0)</f>
        <v>776.15354630789511</v>
      </c>
      <c r="J12" s="3">
        <f>VLOOKUP(Обновление_цен[[#This Row],[Артикул]],Стоимости_товаров_OZON[],24,0)</f>
        <v>1883</v>
      </c>
      <c r="K12" s="3">
        <f>ROUNDUP(VLOOKUP(Обновление_цен[[#This Row],[Артикул]],Стоимости_товаров_OZON[],50,0),0)</f>
        <v>2491</v>
      </c>
      <c r="L12" s="3">
        <f>VLOOKUP(Обновление_цен[[#This Row],[Артикул]],Стоимости_товаров_OZON[],26,0)</f>
        <v>2492</v>
      </c>
      <c r="M12" s="3">
        <f>VLOOKUP(Обновление_цен[[#This Row],[Артикул]],Стоимости_товаров_OZON[],52,0)</f>
        <v>3681.09</v>
      </c>
      <c r="N12" s="3">
        <f>VLOOKUP(Обновление_цен[[#This Row],[Артикул]],Стоимости_товаров_OZON[],25,0)</f>
        <v>3666</v>
      </c>
      <c r="O12" s="3">
        <f>(Обновление_цен[[#This Row],[Себестоимость]]*4.5)+200</f>
        <v>3692.6909583855281</v>
      </c>
    </row>
    <row r="13" spans="1:36" x14ac:dyDescent="0.3">
      <c r="A13" t="s">
        <v>143</v>
      </c>
      <c r="E13" t="s">
        <v>90</v>
      </c>
      <c r="F13" t="str">
        <f>UPPER(VLOOKUP(Обновление_цен[[#This Row],[Артикул]],Список_товар_API[],19,0))</f>
        <v>ACTUAL</v>
      </c>
      <c r="G1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3" s="28" t="s">
        <v>621</v>
      </c>
      <c r="I13" s="3">
        <f>VLOOKUP(Обновление_цен[[#This Row],[Артикул]],Список_товар_API[],21,0)</f>
        <v>604.47806838486895</v>
      </c>
      <c r="J13" s="3">
        <f>VLOOKUP(Обновление_цен[[#This Row],[Артикул]],Стоимости_товаров_OZON[],24,0)</f>
        <v>1592</v>
      </c>
      <c r="K13" s="3">
        <f>ROUNDUP(VLOOKUP(Обновление_цен[[#This Row],[Артикул]],Стоимости_товаров_OZON[],50,0),0)</f>
        <v>2166</v>
      </c>
      <c r="L13" s="3">
        <f>VLOOKUP(Обновление_цен[[#This Row],[Артикул]],Стоимости_товаров_OZON[],26,0)</f>
        <v>2166</v>
      </c>
      <c r="M13" s="3">
        <f>VLOOKUP(Обновление_цен[[#This Row],[Артикул]],Стоимости_товаров_OZON[],52,0)</f>
        <v>3387.82</v>
      </c>
      <c r="N13" s="3">
        <f>VLOOKUP(Обновление_цен[[#This Row],[Артикул]],Стоимости_товаров_OZON[],25,0)</f>
        <v>2902</v>
      </c>
      <c r="O13" s="3">
        <f>(Обновление_цен[[#This Row],[Себестоимость]]*4.5)+200</f>
        <v>2920.1513077319105</v>
      </c>
    </row>
    <row r="14" spans="1:36" x14ac:dyDescent="0.3">
      <c r="A14" t="s">
        <v>144</v>
      </c>
      <c r="E14" t="s">
        <v>92</v>
      </c>
      <c r="F14" t="str">
        <f>UPPER(VLOOKUP(Обновление_цен[[#This Row],[Артикул]],Список_товар_API[],19,0))</f>
        <v>ACTUAL</v>
      </c>
      <c r="G1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4" s="28" t="s">
        <v>621</v>
      </c>
      <c r="I14" s="3">
        <f>VLOOKUP(Обновление_цен[[#This Row],[Артикул]],Список_товар_API[],21,0)</f>
        <v>604.47806838486895</v>
      </c>
      <c r="J14" s="3">
        <f>VLOOKUP(Обновление_цен[[#This Row],[Артикул]],Стоимости_товаров_OZON[],24,0)</f>
        <v>1592</v>
      </c>
      <c r="K14" s="3">
        <f>ROUNDUP(VLOOKUP(Обновление_цен[[#This Row],[Артикул]],Стоимости_товаров_OZON[],50,0),0)</f>
        <v>2166</v>
      </c>
      <c r="L14" s="3">
        <f>VLOOKUP(Обновление_цен[[#This Row],[Артикул]],Стоимости_товаров_OZON[],26,0)</f>
        <v>2166</v>
      </c>
      <c r="M14" s="3">
        <f>VLOOKUP(Обновление_цен[[#This Row],[Артикул]],Стоимости_товаров_OZON[],52,0)</f>
        <v>3387.82</v>
      </c>
      <c r="N14" s="3">
        <f>VLOOKUP(Обновление_цен[[#This Row],[Артикул]],Стоимости_товаров_OZON[],25,0)</f>
        <v>2902</v>
      </c>
      <c r="O14" s="3">
        <f>(Обновление_цен[[#This Row],[Себестоимость]]*4.5)+200</f>
        <v>2920.1513077319105</v>
      </c>
      <c r="AI14" s="23"/>
      <c r="AJ14" s="23"/>
    </row>
    <row r="15" spans="1:36" x14ac:dyDescent="0.3">
      <c r="A15" t="s">
        <v>145</v>
      </c>
      <c r="E15" t="s">
        <v>94</v>
      </c>
      <c r="F15" t="str">
        <f>UPPER(VLOOKUP(Обновление_цен[[#This Row],[Артикул]],Список_товар_API[],19,0))</f>
        <v>ACTUAL</v>
      </c>
      <c r="G1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5" s="28" t="s">
        <v>621</v>
      </c>
      <c r="I15" s="3">
        <f>VLOOKUP(Обновление_цен[[#This Row],[Артикул]],Список_товар_API[],21,0)</f>
        <v>604.47806838486895</v>
      </c>
      <c r="J15" s="3">
        <f>VLOOKUP(Обновление_цен[[#This Row],[Артикул]],Стоимости_товаров_OZON[],24,0)</f>
        <v>1592</v>
      </c>
      <c r="K15" s="3">
        <f>ROUNDUP(VLOOKUP(Обновление_цен[[#This Row],[Артикул]],Стоимости_товаров_OZON[],50,0),0)</f>
        <v>2166</v>
      </c>
      <c r="L15" s="3">
        <f>VLOOKUP(Обновление_цен[[#This Row],[Артикул]],Стоимости_товаров_OZON[],26,0)</f>
        <v>2166</v>
      </c>
      <c r="M15" s="3">
        <f>VLOOKUP(Обновление_цен[[#This Row],[Артикул]],Стоимости_товаров_OZON[],52,0)</f>
        <v>3387.82</v>
      </c>
      <c r="N15" s="3">
        <f>VLOOKUP(Обновление_цен[[#This Row],[Артикул]],Стоимости_товаров_OZON[],25,0)</f>
        <v>2902</v>
      </c>
      <c r="O15" s="3">
        <f>(Обновление_цен[[#This Row],[Себестоимость]]*4.5)+200</f>
        <v>2920.1513077319105</v>
      </c>
    </row>
    <row r="16" spans="1:36" x14ac:dyDescent="0.3">
      <c r="A16" t="s">
        <v>146</v>
      </c>
      <c r="E16" t="s">
        <v>74</v>
      </c>
      <c r="F16" t="str">
        <f>UPPER(VLOOKUP(Обновление_цен[[#This Row],[Артикул]],Список_товар_API[],19,0))</f>
        <v>ACTUAL</v>
      </c>
      <c r="G1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6" s="28" t="s">
        <v>621</v>
      </c>
      <c r="I16" s="3">
        <f>VLOOKUP(Обновление_цен[[#This Row],[Артикул]],Список_товар_API[],21,0)</f>
        <v>626.62465838486889</v>
      </c>
      <c r="J16" s="3">
        <f>VLOOKUP(Обновление_цен[[#This Row],[Артикул]],Стоимости_товаров_OZON[],24,0)</f>
        <v>1566</v>
      </c>
      <c r="K16" s="3">
        <f>ROUNDUP(VLOOKUP(Обновление_цен[[#This Row],[Артикул]],Стоимости_товаров_OZON[],50,0),0)</f>
        <v>2091</v>
      </c>
      <c r="L16" s="3">
        <f>VLOOKUP(Обновление_цен[[#This Row],[Артикул]],Стоимости_товаров_OZON[],26,0)</f>
        <v>2092</v>
      </c>
      <c r="M16" s="3">
        <f>VLOOKUP(Обновление_цен[[#This Row],[Артикул]],Стоимости_товаров_OZON[],52,0)</f>
        <v>3149.06</v>
      </c>
      <c r="N16" s="3">
        <f>VLOOKUP(Обновление_цен[[#This Row],[Артикул]],Стоимости_товаров_OZON[],25,0)</f>
        <v>3001</v>
      </c>
      <c r="O16" s="3">
        <f>(Обновление_цен[[#This Row],[Себестоимость]]*4.5)+200</f>
        <v>3019.81096273191</v>
      </c>
    </row>
    <row r="17" spans="1:15" x14ac:dyDescent="0.3">
      <c r="A17" t="s">
        <v>147</v>
      </c>
      <c r="E17" t="s">
        <v>76</v>
      </c>
      <c r="F17" t="str">
        <f>UPPER(VLOOKUP(Обновление_цен[[#This Row],[Артикул]],Список_товар_API[],19,0))</f>
        <v>ACTUAL</v>
      </c>
      <c r="G1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7" s="28" t="s">
        <v>621</v>
      </c>
      <c r="I17" s="3">
        <f>VLOOKUP(Обновление_цен[[#This Row],[Артикул]],Список_товар_API[],21,0)</f>
        <v>626.62465838486889</v>
      </c>
      <c r="J17" s="3">
        <f>VLOOKUP(Обновление_цен[[#This Row],[Артикул]],Стоимости_товаров_OZON[],24,0)</f>
        <v>1568</v>
      </c>
      <c r="K17" s="3">
        <f>ROUNDUP(VLOOKUP(Обновление_цен[[#This Row],[Артикул]],Стоимости_товаров_OZON[],50,0),0)</f>
        <v>2095</v>
      </c>
      <c r="L17" s="3">
        <f>VLOOKUP(Обновление_цен[[#This Row],[Артикул]],Стоимости_товаров_OZON[],26,0)</f>
        <v>2096</v>
      </c>
      <c r="M17" s="3">
        <f>VLOOKUP(Обновление_цен[[#This Row],[Артикул]],Стоимости_товаров_OZON[],52,0)</f>
        <v>3157.83</v>
      </c>
      <c r="N17" s="3">
        <f>VLOOKUP(Обновление_цен[[#This Row],[Артикул]],Стоимости_товаров_OZON[],25,0)</f>
        <v>3001</v>
      </c>
      <c r="O17" s="3">
        <f>(Обновление_цен[[#This Row],[Себестоимость]]*4.5)+200</f>
        <v>3019.81096273191</v>
      </c>
    </row>
    <row r="18" spans="1:15" x14ac:dyDescent="0.3">
      <c r="A18" t="s">
        <v>148</v>
      </c>
      <c r="E18" t="s">
        <v>78</v>
      </c>
      <c r="F18" t="str">
        <f>UPPER(VLOOKUP(Обновление_цен[[#This Row],[Артикул]],Список_товар_API[],19,0))</f>
        <v>ACTUAL</v>
      </c>
      <c r="G1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8" s="28" t="s">
        <v>621</v>
      </c>
      <c r="I18" s="3">
        <f>VLOOKUP(Обновление_цен[[#This Row],[Артикул]],Список_товар_API[],21,0)</f>
        <v>626.62465838486889</v>
      </c>
      <c r="J18" s="3">
        <f>VLOOKUP(Обновление_цен[[#This Row],[Артикул]],Стоимости_товаров_OZON[],24,0)</f>
        <v>1557</v>
      </c>
      <c r="K18" s="3">
        <f>ROUNDUP(VLOOKUP(Обновление_цен[[#This Row],[Артикул]],Стоимости_товаров_OZON[],50,0),0)</f>
        <v>2074</v>
      </c>
      <c r="L18" s="3">
        <f>VLOOKUP(Обновление_цен[[#This Row],[Артикул]],Стоимости_товаров_OZON[],26,0)</f>
        <v>2075</v>
      </c>
      <c r="M18" s="3">
        <f>VLOOKUP(Обновление_цен[[#This Row],[Артикул]],Стоимости_товаров_OZON[],52,0)</f>
        <v>3111.12</v>
      </c>
      <c r="N18" s="3">
        <f>VLOOKUP(Обновление_цен[[#This Row],[Артикул]],Стоимости_товаров_OZON[],25,0)</f>
        <v>3001</v>
      </c>
      <c r="O18" s="3">
        <f>(Обновление_цен[[#This Row],[Себестоимость]]*4.5)+200</f>
        <v>3019.81096273191</v>
      </c>
    </row>
    <row r="19" spans="1:15" x14ac:dyDescent="0.3">
      <c r="A19" t="s">
        <v>149</v>
      </c>
      <c r="E19" t="s">
        <v>80</v>
      </c>
      <c r="F19" t="str">
        <f>UPPER(VLOOKUP(Обновление_цен[[#This Row],[Артикул]],Список_товар_API[],19,0))</f>
        <v>ACTUAL</v>
      </c>
      <c r="G1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9" s="28" t="s">
        <v>621</v>
      </c>
      <c r="I19" s="3">
        <f>VLOOKUP(Обновление_цен[[#This Row],[Артикул]],Список_товар_API[],21,0)</f>
        <v>626.62465838486889</v>
      </c>
      <c r="J19" s="3">
        <f>VLOOKUP(Обновление_цен[[#This Row],[Артикул]],Стоимости_товаров_OZON[],24,0)</f>
        <v>1609</v>
      </c>
      <c r="K19" s="3">
        <f>ROUNDUP(VLOOKUP(Обновление_цен[[#This Row],[Артикул]],Стоимости_товаров_OZON[],50,0),0)</f>
        <v>2169</v>
      </c>
      <c r="L19" s="3">
        <f>VLOOKUP(Обновление_цен[[#This Row],[Артикул]],Стоимости_товаров_OZON[],26,0)</f>
        <v>2169</v>
      </c>
      <c r="M19" s="3">
        <f>VLOOKUP(Обновление_цен[[#This Row],[Артикул]],Стоимости_товаров_OZON[],52,0)</f>
        <v>3328.44</v>
      </c>
      <c r="N19" s="3">
        <f>VLOOKUP(Обновление_цен[[#This Row],[Артикул]],Стоимости_товаров_OZON[],25,0)</f>
        <v>3001</v>
      </c>
      <c r="O19" s="3">
        <f>(Обновление_цен[[#This Row],[Себестоимость]]*4.5)+200</f>
        <v>3019.81096273191</v>
      </c>
    </row>
    <row r="20" spans="1:15" x14ac:dyDescent="0.3">
      <c r="A20" t="s">
        <v>150</v>
      </c>
      <c r="E20" t="s">
        <v>82</v>
      </c>
      <c r="F20" t="str">
        <f>UPPER(VLOOKUP(Обновление_цен[[#This Row],[Артикул]],Список_товар_API[],19,0))</f>
        <v>ACTUAL</v>
      </c>
      <c r="G2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0" s="28" t="s">
        <v>621</v>
      </c>
      <c r="I20" s="3">
        <f>VLOOKUP(Обновление_цен[[#This Row],[Артикул]],Список_товар_API[],21,0)</f>
        <v>626.62465838486889</v>
      </c>
      <c r="J20" s="3">
        <f>VLOOKUP(Обновление_цен[[#This Row],[Артикул]],Стоимости_товаров_OZON[],24,0)</f>
        <v>1557</v>
      </c>
      <c r="K20" s="3">
        <f>ROUNDUP(VLOOKUP(Обновление_цен[[#This Row],[Артикул]],Стоимости_товаров_OZON[],50,0),0)</f>
        <v>2074</v>
      </c>
      <c r="L20" s="3">
        <f>VLOOKUP(Обновление_цен[[#This Row],[Артикул]],Стоимости_товаров_OZON[],26,0)</f>
        <v>2075</v>
      </c>
      <c r="M20" s="3">
        <f>VLOOKUP(Обновление_цен[[#This Row],[Артикул]],Стоимости_товаров_OZON[],52,0)</f>
        <v>3111.12</v>
      </c>
      <c r="N20" s="3">
        <f>VLOOKUP(Обновление_цен[[#This Row],[Артикул]],Стоимости_товаров_OZON[],25,0)</f>
        <v>3001</v>
      </c>
      <c r="O20" s="3">
        <f>(Обновление_цен[[#This Row],[Себестоимость]]*4.5)+200</f>
        <v>3019.81096273191</v>
      </c>
    </row>
    <row r="21" spans="1:15" x14ac:dyDescent="0.3">
      <c r="A21" t="s">
        <v>151</v>
      </c>
      <c r="E21" t="s">
        <v>84</v>
      </c>
      <c r="F21" t="str">
        <f>UPPER(VLOOKUP(Обновление_цен[[#This Row],[Артикул]],Список_товар_API[],19,0))</f>
        <v>ACTUAL</v>
      </c>
      <c r="G2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1" s="28" t="s">
        <v>621</v>
      </c>
      <c r="I21" s="3">
        <f>VLOOKUP(Обновление_цен[[#This Row],[Артикул]],Список_товар_API[],21,0)</f>
        <v>626.62465838486889</v>
      </c>
      <c r="J21" s="3">
        <f>VLOOKUP(Обновление_цен[[#This Row],[Артикул]],Стоимости_товаров_OZON[],24,0)</f>
        <v>1609</v>
      </c>
      <c r="K21" s="3">
        <f>ROUNDUP(VLOOKUP(Обновление_цен[[#This Row],[Артикул]],Стоимости_товаров_OZON[],50,0),0)</f>
        <v>2169</v>
      </c>
      <c r="L21" s="3">
        <f>VLOOKUP(Обновление_цен[[#This Row],[Артикул]],Стоимости_товаров_OZON[],26,0)</f>
        <v>2169</v>
      </c>
      <c r="M21" s="3">
        <f>VLOOKUP(Обновление_цен[[#This Row],[Артикул]],Стоимости_товаров_OZON[],52,0)</f>
        <v>3328.44</v>
      </c>
      <c r="N21" s="3">
        <f>VLOOKUP(Обновление_цен[[#This Row],[Артикул]],Стоимости_товаров_OZON[],25,0)</f>
        <v>3001</v>
      </c>
      <c r="O21" s="3">
        <f>(Обновление_цен[[#This Row],[Себестоимость]]*4.5)+200</f>
        <v>3019.81096273191</v>
      </c>
    </row>
    <row r="22" spans="1:15" x14ac:dyDescent="0.3">
      <c r="A22" t="s">
        <v>152</v>
      </c>
      <c r="E22" t="s">
        <v>86</v>
      </c>
      <c r="F22" t="str">
        <f>UPPER(VLOOKUP(Обновление_цен[[#This Row],[Артикул]],Список_товар_API[],19,0))</f>
        <v>ACTUAL</v>
      </c>
      <c r="G2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2" s="28" t="s">
        <v>621</v>
      </c>
      <c r="I22" s="3">
        <f>VLOOKUP(Обновление_цен[[#This Row],[Артикул]],Список_товар_API[],21,0)</f>
        <v>626.62465838486889</v>
      </c>
      <c r="J22" s="3">
        <f>VLOOKUP(Обновление_цен[[#This Row],[Артикул]],Стоимости_товаров_OZON[],24,0)</f>
        <v>1609</v>
      </c>
      <c r="K22" s="3">
        <f>ROUNDUP(VLOOKUP(Обновление_цен[[#This Row],[Артикул]],Стоимости_товаров_OZON[],50,0),0)</f>
        <v>2169</v>
      </c>
      <c r="L22" s="3">
        <f>VLOOKUP(Обновление_цен[[#This Row],[Артикул]],Стоимости_товаров_OZON[],26,0)</f>
        <v>2169</v>
      </c>
      <c r="M22" s="3">
        <f>VLOOKUP(Обновление_цен[[#This Row],[Артикул]],Стоимости_товаров_OZON[],52,0)</f>
        <v>3328.44</v>
      </c>
      <c r="N22" s="3">
        <f>VLOOKUP(Обновление_цен[[#This Row],[Артикул]],Стоимости_товаров_OZON[],25,0)</f>
        <v>3001</v>
      </c>
      <c r="O22" s="3">
        <f>(Обновление_цен[[#This Row],[Себестоимость]]*4.5)+200</f>
        <v>3019.81096273191</v>
      </c>
    </row>
    <row r="23" spans="1:15" x14ac:dyDescent="0.3">
      <c r="A23" t="s">
        <v>153</v>
      </c>
      <c r="E23" t="s">
        <v>88</v>
      </c>
      <c r="F23" t="str">
        <f>UPPER(VLOOKUP(Обновление_цен[[#This Row],[Артикул]],Список_товар_API[],19,0))</f>
        <v>ACTUAL</v>
      </c>
      <c r="G2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3" s="28" t="s">
        <v>621</v>
      </c>
      <c r="I23" s="3">
        <f>VLOOKUP(Обновление_цен[[#This Row],[Артикул]],Список_товар_API[],21,0)</f>
        <v>626.62465838486889</v>
      </c>
      <c r="J23" s="3">
        <f>VLOOKUP(Обновление_цен[[#This Row],[Артикул]],Стоимости_товаров_OZON[],24,0)</f>
        <v>1574</v>
      </c>
      <c r="K23" s="3">
        <f>ROUNDUP(VLOOKUP(Обновление_цен[[#This Row],[Артикул]],Стоимости_товаров_OZON[],50,0),0)</f>
        <v>2105</v>
      </c>
      <c r="L23" s="3">
        <f>VLOOKUP(Обновление_цен[[#This Row],[Артикул]],Стоимости_товаров_OZON[],26,0)</f>
        <v>2105</v>
      </c>
      <c r="M23" s="3">
        <f>VLOOKUP(Обновление_цен[[#This Row],[Артикул]],Стоимости_товаров_OZON[],52,0)</f>
        <v>3179.63</v>
      </c>
      <c r="N23" s="3">
        <f>VLOOKUP(Обновление_цен[[#This Row],[Артикул]],Стоимости_товаров_OZON[],25,0)</f>
        <v>3001</v>
      </c>
      <c r="O23" s="3">
        <f>(Обновление_цен[[#This Row],[Себестоимость]]*4.5)+200</f>
        <v>3019.81096273191</v>
      </c>
    </row>
    <row r="24" spans="1:15" x14ac:dyDescent="0.3">
      <c r="A24" t="s">
        <v>154</v>
      </c>
      <c r="E24" t="s">
        <v>96</v>
      </c>
      <c r="F24" t="str">
        <f>UPPER(VLOOKUP(Обновление_цен[[#This Row],[Артикул]],Список_товар_API[],19,0))</f>
        <v>ACTUAL</v>
      </c>
      <c r="G2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4" s="28" t="s">
        <v>621</v>
      </c>
      <c r="I24" s="3">
        <f>VLOOKUP(Обновление_цен[[#This Row],[Артикул]],Список_товар_API[],21,0)</f>
        <v>626.62465838486889</v>
      </c>
      <c r="J24" s="3">
        <f>VLOOKUP(Обновление_цен[[#This Row],[Артикул]],Стоимости_товаров_OZON[],24,0)</f>
        <v>1609</v>
      </c>
      <c r="K24" s="3">
        <f>ROUNDUP(VLOOKUP(Обновление_цен[[#This Row],[Артикул]],Стоимости_товаров_OZON[],50,0),0)</f>
        <v>2169</v>
      </c>
      <c r="L24" s="3">
        <f>VLOOKUP(Обновление_цен[[#This Row],[Артикул]],Стоимости_товаров_OZON[],26,0)</f>
        <v>2169</v>
      </c>
      <c r="M24" s="3">
        <f>VLOOKUP(Обновление_цен[[#This Row],[Артикул]],Стоимости_товаров_OZON[],52,0)</f>
        <v>3328.44</v>
      </c>
      <c r="N24" s="3">
        <f>VLOOKUP(Обновление_цен[[#This Row],[Артикул]],Стоимости_товаров_OZON[],25,0)</f>
        <v>3001</v>
      </c>
      <c r="O24" s="3">
        <f>(Обновление_цен[[#This Row],[Себестоимость]]*4.5)+200</f>
        <v>3019.81096273191</v>
      </c>
    </row>
    <row r="25" spans="1:15" x14ac:dyDescent="0.3">
      <c r="A25" t="s">
        <v>155</v>
      </c>
      <c r="E25" t="s">
        <v>98</v>
      </c>
      <c r="F25" t="str">
        <f>UPPER(VLOOKUP(Обновление_цен[[#This Row],[Артикул]],Список_товар_API[],19,0))</f>
        <v>ACTUAL</v>
      </c>
      <c r="G2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5" s="28" t="s">
        <v>621</v>
      </c>
      <c r="I25" s="3">
        <f>VLOOKUP(Обновление_цен[[#This Row],[Артикул]],Список_товар_API[],21,0)</f>
        <v>344.49985069243445</v>
      </c>
      <c r="J25" s="3">
        <f>VLOOKUP(Обновление_цен[[#This Row],[Артикул]],Стоимости_товаров_OZON[],24,0)</f>
        <v>933</v>
      </c>
      <c r="K25" s="3">
        <f>ROUNDUP(VLOOKUP(Обновление_цен[[#This Row],[Артикул]],Стоимости_товаров_OZON[],50,0),0)</f>
        <v>1279</v>
      </c>
      <c r="L25" s="3">
        <f>VLOOKUP(Обновление_цен[[#This Row],[Артикул]],Стоимости_товаров_OZON[],26,0)</f>
        <v>1281</v>
      </c>
      <c r="M25" s="3">
        <f>VLOOKUP(Обновление_цен[[#This Row],[Артикул]],Стоимости_товаров_OZON[],52,0)</f>
        <v>2037.1</v>
      </c>
      <c r="N25" s="3">
        <f>VLOOKUP(Обновление_цен[[#This Row],[Артикул]],Стоимости_товаров_OZON[],25,0)</f>
        <v>1741</v>
      </c>
      <c r="O25" s="3">
        <f>(Обновление_цен[[#This Row],[Себестоимость]]*4.5)+200</f>
        <v>1750.249328115955</v>
      </c>
    </row>
    <row r="26" spans="1:15" x14ac:dyDescent="0.3">
      <c r="A26" t="s">
        <v>156</v>
      </c>
      <c r="E26" t="s">
        <v>100</v>
      </c>
      <c r="F26" t="str">
        <f>UPPER(VLOOKUP(Обновление_цен[[#This Row],[Артикул]],Список_товар_API[],19,0))</f>
        <v>ACTUAL</v>
      </c>
      <c r="G2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6" s="28" t="s">
        <v>621</v>
      </c>
      <c r="I26" s="3">
        <f>VLOOKUP(Обновление_цен[[#This Row],[Артикул]],Список_товар_API[],21,0)</f>
        <v>394.27139769243445</v>
      </c>
      <c r="J26" s="3">
        <f>VLOOKUP(Обновление_цен[[#This Row],[Артикул]],Стоимости_товаров_OZON[],24,0)</f>
        <v>1061</v>
      </c>
      <c r="K26" s="3">
        <f>ROUNDUP(VLOOKUP(Обновление_цен[[#This Row],[Артикул]],Стоимости_товаров_OZON[],50,0),0)</f>
        <v>1453</v>
      </c>
      <c r="L26" s="3">
        <f>VLOOKUP(Обновление_цен[[#This Row],[Артикул]],Стоимости_товаров_OZON[],26,0)</f>
        <v>1454</v>
      </c>
      <c r="M26" s="3">
        <f>VLOOKUP(Обновление_цен[[#This Row],[Артикул]],Стоимости_товаров_OZON[],52,0)</f>
        <v>2307.4699999999998</v>
      </c>
      <c r="N26" s="3">
        <f>VLOOKUP(Обновление_цен[[#This Row],[Артикул]],Стоимости_товаров_OZON[],25,0)</f>
        <v>1963</v>
      </c>
      <c r="O26" s="3">
        <f>(Обновление_цен[[#This Row],[Себестоимость]]*4.5)+200</f>
        <v>1974.2212896159549</v>
      </c>
    </row>
    <row r="27" spans="1:15" x14ac:dyDescent="0.3">
      <c r="A27" t="s">
        <v>157</v>
      </c>
      <c r="E27" t="s">
        <v>102</v>
      </c>
      <c r="F27" t="str">
        <f>UPPER(VLOOKUP(Обновление_цен[[#This Row],[Артикул]],Список_товар_API[],19,0))</f>
        <v>ACTUAL</v>
      </c>
      <c r="G2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7" s="28" t="s">
        <v>621</v>
      </c>
      <c r="I27" s="3">
        <f>VLOOKUP(Обновление_цен[[#This Row],[Артикул]],Список_товар_API[],21,0)</f>
        <v>344.49985069243445</v>
      </c>
      <c r="J27" s="3">
        <f>VLOOKUP(Обновление_цен[[#This Row],[Артикул]],Стоимости_товаров_OZON[],24,0)</f>
        <v>933</v>
      </c>
      <c r="K27" s="3">
        <f>ROUNDUP(VLOOKUP(Обновление_цен[[#This Row],[Артикул]],Стоимости_товаров_OZON[],50,0),0)</f>
        <v>1284</v>
      </c>
      <c r="L27" s="3">
        <f>VLOOKUP(Обновление_цен[[#This Row],[Артикул]],Стоимости_товаров_OZON[],26,0)</f>
        <v>1400</v>
      </c>
      <c r="M27" s="3">
        <f>VLOOKUP(Обновление_цен[[#This Row],[Артикул]],Стоимости_товаров_OZON[],52,0)</f>
        <v>2052.14</v>
      </c>
      <c r="N27" s="3">
        <f>VLOOKUP(Обновление_цен[[#This Row],[Артикул]],Стоимости_товаров_OZON[],25,0)</f>
        <v>1741</v>
      </c>
      <c r="O27" s="3">
        <f>(Обновление_цен[[#This Row],[Себестоимость]]*4.5)+200</f>
        <v>1750.249328115955</v>
      </c>
    </row>
    <row r="28" spans="1:15" x14ac:dyDescent="0.3">
      <c r="A28" t="s">
        <v>158</v>
      </c>
      <c r="E28" t="s">
        <v>104</v>
      </c>
      <c r="F28" t="str">
        <f>UPPER(VLOOKUP(Обновление_цен[[#This Row],[Артикул]],Список_товар_API[],19,0))</f>
        <v>ACTUAL</v>
      </c>
      <c r="G2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8" s="28" t="s">
        <v>621</v>
      </c>
      <c r="I28" s="3">
        <f>VLOOKUP(Обновление_цен[[#This Row],[Артикул]],Список_товар_API[],21,0)</f>
        <v>344.49985069243445</v>
      </c>
      <c r="J28" s="3">
        <f>VLOOKUP(Обновление_цен[[#This Row],[Артикул]],Стоимости_товаров_OZON[],24,0)</f>
        <v>921</v>
      </c>
      <c r="K28" s="3">
        <f>ROUNDUP(VLOOKUP(Обновление_цен[[#This Row],[Артикул]],Стоимости_товаров_OZON[],50,0),0)</f>
        <v>1256</v>
      </c>
      <c r="L28" s="3">
        <f>VLOOKUP(Обновление_цен[[#This Row],[Артикул]],Стоимости_товаров_OZON[],26,0)</f>
        <v>1258</v>
      </c>
      <c r="M28" s="3">
        <f>VLOOKUP(Обновление_цен[[#This Row],[Артикул]],Стоимости_товаров_OZON[],52,0)</f>
        <v>1979.78</v>
      </c>
      <c r="N28" s="3">
        <f>VLOOKUP(Обновление_цен[[#This Row],[Артикул]],Стоимости_товаров_OZON[],25,0)</f>
        <v>1741</v>
      </c>
      <c r="O28" s="3">
        <f>(Обновление_цен[[#This Row],[Себестоимость]]*4.5)+200</f>
        <v>1750.249328115955</v>
      </c>
    </row>
    <row r="29" spans="1:15" x14ac:dyDescent="0.3">
      <c r="A29" t="s">
        <v>159</v>
      </c>
      <c r="E29" t="s">
        <v>106</v>
      </c>
      <c r="F29" t="str">
        <f>UPPER(VLOOKUP(Обновление_цен[[#This Row],[Артикул]],Список_товар_API[],19,0))</f>
        <v>ACTUAL</v>
      </c>
      <c r="G2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29" s="28" t="s">
        <v>621</v>
      </c>
      <c r="I29" s="3">
        <f>VLOOKUP(Обновление_цен[[#This Row],[Артикул]],Список_товар_API[],21,0)</f>
        <v>394.27139769243445</v>
      </c>
      <c r="J29" s="3">
        <f>VLOOKUP(Обновление_цен[[#This Row],[Артикул]],Стоимости_товаров_OZON[],24,0)</f>
        <v>1023</v>
      </c>
      <c r="K29" s="3">
        <f>ROUNDUP(VLOOKUP(Обновление_цен[[#This Row],[Артикул]],Стоимости_товаров_OZON[],50,0),0)</f>
        <v>1382</v>
      </c>
      <c r="L29" s="3">
        <f>VLOOKUP(Обновление_цен[[#This Row],[Артикул]],Стоимости_товаров_OZON[],26,0)</f>
        <v>1384</v>
      </c>
      <c r="M29" s="3">
        <f>VLOOKUP(Обновление_цен[[#This Row],[Артикул]],Стоимости_товаров_OZON[],52,0)</f>
        <v>2133.59</v>
      </c>
      <c r="N29" s="3">
        <f>VLOOKUP(Обновление_цен[[#This Row],[Артикул]],Стоимости_товаров_OZON[],25,0)</f>
        <v>1963</v>
      </c>
      <c r="O29" s="3">
        <f>(Обновление_цен[[#This Row],[Себестоимость]]*4.5)+200</f>
        <v>1974.2212896159549</v>
      </c>
    </row>
    <row r="30" spans="1:15" x14ac:dyDescent="0.3">
      <c r="A30" t="s">
        <v>160</v>
      </c>
      <c r="E30" t="s">
        <v>108</v>
      </c>
      <c r="F30" t="str">
        <f>UPPER(VLOOKUP(Обновление_цен[[#This Row],[Артикул]],Список_товар_API[],19,0))</f>
        <v>ACTUAL</v>
      </c>
      <c r="G3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0" s="28" t="s">
        <v>621</v>
      </c>
      <c r="I30" s="3">
        <f>VLOOKUP(Обновление_цен[[#This Row],[Артикул]],Список_товар_API[],21,0)</f>
        <v>394.27139769243445</v>
      </c>
      <c r="J30" s="3">
        <f>VLOOKUP(Обновление_цен[[#This Row],[Артикул]],Стоимости_товаров_OZON[],24,0)</f>
        <v>1061</v>
      </c>
      <c r="K30" s="3">
        <f>ROUNDUP(VLOOKUP(Обновление_цен[[#This Row],[Артикул]],Стоимости_товаров_OZON[],50,0),0)</f>
        <v>1453</v>
      </c>
      <c r="L30" s="3">
        <f>VLOOKUP(Обновление_цен[[#This Row],[Артикул]],Стоимости_товаров_OZON[],26,0)</f>
        <v>1454</v>
      </c>
      <c r="M30" s="3">
        <f>VLOOKUP(Обновление_цен[[#This Row],[Артикул]],Стоимости_товаров_OZON[],52,0)</f>
        <v>2307.4699999999998</v>
      </c>
      <c r="N30" s="3">
        <f>VLOOKUP(Обновление_цен[[#This Row],[Артикул]],Стоимости_товаров_OZON[],25,0)</f>
        <v>1963</v>
      </c>
      <c r="O30" s="3">
        <f>(Обновление_цен[[#This Row],[Себестоимость]]*4.5)+200</f>
        <v>1974.2212896159549</v>
      </c>
    </row>
    <row r="31" spans="1:15" x14ac:dyDescent="0.3">
      <c r="A31" t="s">
        <v>161</v>
      </c>
      <c r="E31" t="s">
        <v>113</v>
      </c>
      <c r="F31" t="str">
        <f>UPPER(VLOOKUP(Обновление_цен[[#This Row],[Артикул]],Список_товар_API[],19,0))</f>
        <v>ACTUAL</v>
      </c>
      <c r="G3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31" s="28" t="s">
        <v>621</v>
      </c>
      <c r="I31" s="3">
        <f>VLOOKUP(Обновление_цен[[#This Row],[Артикул]],Список_товар_API[],21,0)</f>
        <v>1563.4092797144638</v>
      </c>
      <c r="J31" s="3">
        <f>VLOOKUP(Обновление_цен[[#This Row],[Артикул]],Стоимости_товаров_OZON[],24,0)</f>
        <v>3934</v>
      </c>
      <c r="K31" s="3">
        <f>ROUNDUP(VLOOKUP(Обновление_цен[[#This Row],[Артикул]],Стоимости_товаров_OZON[],50,0),0)</f>
        <v>3933</v>
      </c>
      <c r="L31" s="3">
        <f>VLOOKUP(Обновление_цен[[#This Row],[Артикул]],Стоимости_товаров_OZON[],26,0)</f>
        <v>5256</v>
      </c>
      <c r="M31" s="3">
        <f>VLOOKUP(Обновление_цен[[#This Row],[Артикул]],Стоимости_товаров_OZON[],52,0)</f>
        <v>5255.43</v>
      </c>
      <c r="N31" s="3">
        <f>VLOOKUP(Обновление_цен[[#This Row],[Артикул]],Стоимости_товаров_OZON[],25,0)</f>
        <v>7235</v>
      </c>
      <c r="O31" s="3">
        <f>(Обновление_цен[[#This Row],[Себестоимость]]*4.5)+200</f>
        <v>7235.3417587150871</v>
      </c>
    </row>
    <row r="32" spans="1:15" x14ac:dyDescent="0.3">
      <c r="A32" t="s">
        <v>162</v>
      </c>
      <c r="E32" t="s">
        <v>115</v>
      </c>
      <c r="F32" t="str">
        <f>UPPER(VLOOKUP(Обновление_цен[[#This Row],[Артикул]],Список_товар_API[],19,0))</f>
        <v>ACTUAL</v>
      </c>
      <c r="G3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32" s="28" t="s">
        <v>621</v>
      </c>
      <c r="I32" s="3">
        <f>VLOOKUP(Обновление_цен[[#This Row],[Артикул]],Список_товар_API[],21,0)</f>
        <v>1563.4092797144638</v>
      </c>
      <c r="J32" s="3">
        <f>VLOOKUP(Обновление_цен[[#This Row],[Артикул]],Стоимости_товаров_OZON[],24,0)</f>
        <v>4063</v>
      </c>
      <c r="K32" s="3">
        <f>ROUNDUP(VLOOKUP(Обновление_цен[[#This Row],[Артикул]],Стоимости_товаров_OZON[],50,0),0)</f>
        <v>4063</v>
      </c>
      <c r="L32" s="3">
        <f>VLOOKUP(Обновление_цен[[#This Row],[Артикул]],Стоимости_товаров_OZON[],26,0)</f>
        <v>5490</v>
      </c>
      <c r="M32" s="3">
        <f>VLOOKUP(Обновление_цен[[#This Row],[Артикул]],Стоимости_товаров_OZON[],52,0)</f>
        <v>5489.68</v>
      </c>
      <c r="N32" s="3">
        <f>VLOOKUP(Обновление_цен[[#This Row],[Артикул]],Стоимости_товаров_OZON[],25,0)</f>
        <v>7235</v>
      </c>
      <c r="O32" s="3">
        <f>(Обновление_цен[[#This Row],[Себестоимость]]*4.5)+200</f>
        <v>7235.3417587150871</v>
      </c>
    </row>
    <row r="33" spans="1:15" x14ac:dyDescent="0.3">
      <c r="A33" t="s">
        <v>163</v>
      </c>
      <c r="E33" t="s">
        <v>117</v>
      </c>
      <c r="F33" t="str">
        <f>UPPER(VLOOKUP(Обновление_цен[[#This Row],[Артикул]],Список_товар_API[],19,0))</f>
        <v>ACTUAL</v>
      </c>
      <c r="G3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33" s="28" t="s">
        <v>621</v>
      </c>
      <c r="I33" s="3">
        <f>VLOOKUP(Обновление_цен[[#This Row],[Артикул]],Список_товар_API[],21,0)</f>
        <v>1563.4092797144638</v>
      </c>
      <c r="J33" s="3">
        <f>VLOOKUP(Обновление_цен[[#This Row],[Артикул]],Стоимости_товаров_OZON[],24,0)</f>
        <v>3934</v>
      </c>
      <c r="K33" s="3">
        <f>ROUNDUP(VLOOKUP(Обновление_цен[[#This Row],[Артикул]],Стоимости_товаров_OZON[],50,0),0)</f>
        <v>3934</v>
      </c>
      <c r="L33" s="3">
        <f>VLOOKUP(Обновление_цен[[#This Row],[Артикул]],Стоимости_товаров_OZON[],26,0)</f>
        <v>5256</v>
      </c>
      <c r="M33" s="3">
        <f>VLOOKUP(Обновление_цен[[#This Row],[Артикул]],Стоимости_товаров_OZON[],52,0)</f>
        <v>5256.47</v>
      </c>
      <c r="N33" s="3">
        <f>VLOOKUP(Обновление_цен[[#This Row],[Артикул]],Стоимости_товаров_OZON[],25,0)</f>
        <v>7235</v>
      </c>
      <c r="O33" s="3">
        <f>(Обновление_цен[[#This Row],[Себестоимость]]*4.5)+200</f>
        <v>7235.3417587150871</v>
      </c>
    </row>
    <row r="34" spans="1:15" x14ac:dyDescent="0.3">
      <c r="A34" t="s">
        <v>594</v>
      </c>
      <c r="E34" t="s">
        <v>119</v>
      </c>
      <c r="F34" t="str">
        <f>UPPER(VLOOKUP(Обновление_цен[[#This Row],[Артикул]],Список_товар_API[],19,0))</f>
        <v>ACTUAL</v>
      </c>
      <c r="G3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4" s="28" t="s">
        <v>621</v>
      </c>
      <c r="I34" s="3">
        <f>VLOOKUP(Обновление_цен[[#This Row],[Артикул]],Список_товар_API[],21,0)</f>
        <v>1728.694888583505</v>
      </c>
      <c r="J34" s="3">
        <f>VLOOKUP(Обновление_цен[[#This Row],[Артикул]],Стоимости_товаров_OZON[],24,0)</f>
        <v>4637</v>
      </c>
      <c r="K34" s="3">
        <f>ROUNDUP(VLOOKUP(Обновление_цен[[#This Row],[Артикул]],Стоимости_товаров_OZON[],50,0),0)</f>
        <v>6333</v>
      </c>
      <c r="L34" s="3">
        <f>VLOOKUP(Обновление_цен[[#This Row],[Артикул]],Стоимости_товаров_OZON[],26,0)</f>
        <v>6341</v>
      </c>
      <c r="M34" s="3">
        <f>VLOOKUP(Обновление_цен[[#This Row],[Артикул]],Стоимости_товаров_OZON[],52,0)</f>
        <v>10006.15</v>
      </c>
      <c r="N34" s="3">
        <f>VLOOKUP(Обновление_цен[[#This Row],[Артикул]],Стоимости_товаров_OZON[],25,0)</f>
        <v>7962</v>
      </c>
      <c r="O34" s="3">
        <f>(Обновление_цен[[#This Row],[Себестоимость]]*4.5)+200</f>
        <v>7979.1269986257721</v>
      </c>
    </row>
    <row r="35" spans="1:15" x14ac:dyDescent="0.3">
      <c r="A35" t="s">
        <v>597</v>
      </c>
      <c r="E35" t="s">
        <v>121</v>
      </c>
      <c r="F35" t="str">
        <f>UPPER(VLOOKUP(Обновление_цен[[#This Row],[Артикул]],Список_товар_API[],19,0))</f>
        <v>ACTUAL</v>
      </c>
      <c r="G3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5" s="28" t="s">
        <v>621</v>
      </c>
      <c r="I35" s="3">
        <f>VLOOKUP(Обновление_цен[[#This Row],[Артикул]],Список_товар_API[],21,0)</f>
        <v>1184.8330831919545</v>
      </c>
      <c r="J35" s="3">
        <f>VLOOKUP(Обновление_цен[[#This Row],[Артикул]],Стоимости_товаров_OZON[],24,0)</f>
        <v>3199</v>
      </c>
      <c r="K35" s="3">
        <f>ROUNDUP(VLOOKUP(Обновление_цен[[#This Row],[Артикул]],Стоимости_товаров_OZON[],50,0),0)</f>
        <v>4383</v>
      </c>
      <c r="L35" s="3">
        <f>VLOOKUP(Обновление_цен[[#This Row],[Артикул]],Стоимости_товаров_OZON[],26,0)</f>
        <v>4386</v>
      </c>
      <c r="M35" s="3">
        <f>VLOOKUP(Обновление_цен[[#This Row],[Артикул]],Стоимости_товаров_OZON[],52,0)</f>
        <v>6965.93</v>
      </c>
      <c r="N35" s="3">
        <f>VLOOKUP(Обновление_цен[[#This Row],[Артикул]],Стоимости_товаров_OZON[],25,0)</f>
        <v>5521</v>
      </c>
      <c r="O35" s="3">
        <f>(Обновление_цен[[#This Row],[Себестоимость]]*4.5)+200</f>
        <v>5531.748874363795</v>
      </c>
    </row>
    <row r="36" spans="1:15" x14ac:dyDescent="0.3">
      <c r="A36" t="s">
        <v>599</v>
      </c>
      <c r="E36" t="s">
        <v>123</v>
      </c>
      <c r="F36" t="str">
        <f>UPPER(VLOOKUP(Обновление_цен[[#This Row],[Артикул]],Список_товар_API[],19,0))</f>
        <v>ACTUAL</v>
      </c>
      <c r="G3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6" s="28" t="s">
        <v>621</v>
      </c>
      <c r="I36" s="3">
        <f>VLOOKUP(Обновление_цен[[#This Row],[Артикул]],Список_товар_API[],21,0)</f>
        <v>1361.2364964840958</v>
      </c>
      <c r="J36" s="3">
        <f>VLOOKUP(Обновление_цен[[#This Row],[Артикул]],Стоимости_товаров_OZON[],24,0)</f>
        <v>3751</v>
      </c>
      <c r="K36" s="3">
        <f>ROUNDUP(VLOOKUP(Обновление_цен[[#This Row],[Артикул]],Стоимости_товаров_OZON[],50,0),0)</f>
        <v>5253</v>
      </c>
      <c r="L36" s="3">
        <f>VLOOKUP(Обновление_цен[[#This Row],[Артикул]],Стоимости_товаров_OZON[],26,0)</f>
        <v>5500</v>
      </c>
      <c r="M36" s="3">
        <f>VLOOKUP(Обновление_цен[[#This Row],[Артикул]],Стоимости_товаров_OZON[],52,0)</f>
        <v>8564.3799999999992</v>
      </c>
      <c r="N36" s="3">
        <f>VLOOKUP(Обновление_цен[[#This Row],[Артикул]],Стоимости_товаров_OZON[],25,0)</f>
        <v>6312</v>
      </c>
      <c r="O36" s="3">
        <f>(Обновление_цен[[#This Row],[Себестоимость]]*4.5)+200</f>
        <v>6325.5642341784314</v>
      </c>
    </row>
    <row r="37" spans="1:15" x14ac:dyDescent="0.3">
      <c r="A37" t="s">
        <v>164</v>
      </c>
      <c r="E37" t="s">
        <v>228</v>
      </c>
      <c r="F37" t="str">
        <f>UPPER(VLOOKUP(Обновление_цен[[#This Row],[Артикул]],Список_товар_API[],19,0))</f>
        <v>ACTUAL</v>
      </c>
      <c r="G3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7" s="28" t="s">
        <v>621</v>
      </c>
      <c r="I37" s="3">
        <f>VLOOKUP(Обновление_цен[[#This Row],[Артикул]],Список_товар_API[],21,0)</f>
        <v>465.92743796934235</v>
      </c>
      <c r="J37" s="3">
        <f>VLOOKUP(Обновление_цен[[#This Row],[Артикул]],Стоимости_товаров_OZON[],24,0)</f>
        <v>1179</v>
      </c>
      <c r="K37" s="3">
        <f>ROUNDUP(VLOOKUP(Обновление_цен[[#This Row],[Артикул]],Стоимости_товаров_OZON[],50,0),0)</f>
        <v>1581</v>
      </c>
      <c r="L37" s="3">
        <f>VLOOKUP(Обновление_цен[[#This Row],[Артикул]],Стоимости_товаров_OZON[],26,0)</f>
        <v>1581</v>
      </c>
      <c r="M37" s="3">
        <f>VLOOKUP(Обновление_цен[[#This Row],[Артикул]],Стоимости_товаров_OZON[],52,0)</f>
        <v>2399.6999999999998</v>
      </c>
      <c r="N37" s="3">
        <f>VLOOKUP(Обновление_цен[[#This Row],[Артикул]],Стоимости_товаров_OZON[],25,0)</f>
        <v>2282</v>
      </c>
      <c r="O37" s="3">
        <f>(Обновление_цен[[#This Row],[Себестоимость]]*4.5)+200</f>
        <v>2296.6734708620406</v>
      </c>
    </row>
    <row r="38" spans="1:15" x14ac:dyDescent="0.3">
      <c r="A38" t="s">
        <v>165</v>
      </c>
      <c r="E38" t="s">
        <v>230</v>
      </c>
      <c r="F38" t="str">
        <f>UPPER(VLOOKUP(Обновление_цен[[#This Row],[Артикул]],Список_товар_API[],19,0))</f>
        <v>ACTUAL</v>
      </c>
      <c r="G3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8" s="28" t="s">
        <v>621</v>
      </c>
      <c r="I38" s="3">
        <f>VLOOKUP(Обновление_цен[[#This Row],[Артикул]],Список_товар_API[],21,0)</f>
        <v>465.92743796934235</v>
      </c>
      <c r="J38" s="3">
        <f>VLOOKUP(Обновление_цен[[#This Row],[Артикул]],Стоимости_товаров_OZON[],24,0)</f>
        <v>1201</v>
      </c>
      <c r="K38" s="3">
        <f>ROUNDUP(VLOOKUP(Обновление_цен[[#This Row],[Артикул]],Стоимости_товаров_OZON[],50,0),0)</f>
        <v>1620</v>
      </c>
      <c r="L38" s="3">
        <f>VLOOKUP(Обновление_цен[[#This Row],[Артикул]],Стоимости_товаров_OZON[],26,0)</f>
        <v>1621</v>
      </c>
      <c r="M38" s="3">
        <f>VLOOKUP(Обновление_цен[[#This Row],[Артикул]],Стоимости_товаров_OZON[],52,0)</f>
        <v>2491.2800000000002</v>
      </c>
      <c r="N38" s="3">
        <f>VLOOKUP(Обновление_цен[[#This Row],[Артикул]],Стоимости_товаров_OZON[],25,0)</f>
        <v>2282</v>
      </c>
      <c r="O38" s="3">
        <f>(Обновление_цен[[#This Row],[Себестоимость]]*4.5)+200</f>
        <v>2296.6734708620406</v>
      </c>
    </row>
    <row r="39" spans="1:15" x14ac:dyDescent="0.3">
      <c r="A39" t="s">
        <v>166</v>
      </c>
      <c r="E39" t="s">
        <v>232</v>
      </c>
      <c r="F39" t="str">
        <f>UPPER(VLOOKUP(Обновление_цен[[#This Row],[Артикул]],Список_товар_API[],19,0))</f>
        <v>ACTUAL</v>
      </c>
      <c r="G3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39" s="28" t="s">
        <v>621</v>
      </c>
      <c r="I39" s="3">
        <f>VLOOKUP(Обновление_цен[[#This Row],[Артикул]],Список_товар_API[],21,0)</f>
        <v>500.89573796934235</v>
      </c>
      <c r="J39" s="3">
        <f>VLOOKUP(Обновление_цен[[#This Row],[Артикул]],Стоимости_товаров_OZON[],24,0)</f>
        <v>1256</v>
      </c>
      <c r="K39" s="3">
        <f>ROUNDUP(VLOOKUP(Обновление_цен[[#This Row],[Артикул]],Стоимости_товаров_OZON[],50,0),0)</f>
        <v>1679</v>
      </c>
      <c r="L39" s="3">
        <f>VLOOKUP(Обновление_цен[[#This Row],[Артикул]],Стоимости_товаров_OZON[],26,0)</f>
        <v>1680</v>
      </c>
      <c r="M39" s="3">
        <f>VLOOKUP(Обновление_цен[[#This Row],[Артикул]],Стоимости_товаров_OZON[],52,0)</f>
        <v>2533.56</v>
      </c>
      <c r="N39" s="3">
        <f>VLOOKUP(Обновление_цен[[#This Row],[Артикул]],Стоимости_товаров_OZON[],25,0)</f>
        <v>2438</v>
      </c>
      <c r="O39" s="3">
        <f>(Обновление_цен[[#This Row],[Себестоимость]]*4.5)+200</f>
        <v>2454.0308208620404</v>
      </c>
    </row>
    <row r="40" spans="1:15" x14ac:dyDescent="0.3">
      <c r="A40" t="s">
        <v>167</v>
      </c>
      <c r="E40" t="s">
        <v>234</v>
      </c>
      <c r="F40" t="str">
        <f>UPPER(VLOOKUP(Обновление_цен[[#This Row],[Артикул]],Список_товар_API[],19,0))</f>
        <v>ACTUAL</v>
      </c>
      <c r="G4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0" s="28" t="s">
        <v>621</v>
      </c>
      <c r="I40" s="3">
        <f>VLOOKUP(Обновление_цен[[#This Row],[Артикул]],Список_товар_API[],21,0)</f>
        <v>465.92743796934235</v>
      </c>
      <c r="J40" s="3">
        <f>VLOOKUP(Обновление_цен[[#This Row],[Артикул]],Стоимости_товаров_OZON[],24,0)</f>
        <v>1199</v>
      </c>
      <c r="K40" s="3">
        <f>ROUNDUP(VLOOKUP(Обновление_цен[[#This Row],[Артикул]],Стоимости_товаров_OZON[],50,0),0)</f>
        <v>1617</v>
      </c>
      <c r="L40" s="3">
        <f>VLOOKUP(Обновление_цен[[#This Row],[Артикул]],Стоимости_товаров_OZON[],26,0)</f>
        <v>1618</v>
      </c>
      <c r="M40" s="3">
        <f>VLOOKUP(Обновление_цен[[#This Row],[Артикул]],Стоимости_товаров_OZON[],52,0)</f>
        <v>2483.29</v>
      </c>
      <c r="N40" s="3">
        <f>VLOOKUP(Обновление_цен[[#This Row],[Артикул]],Стоимости_товаров_OZON[],25,0)</f>
        <v>2282</v>
      </c>
      <c r="O40" s="3">
        <f>(Обновление_цен[[#This Row],[Себестоимость]]*4.5)+200</f>
        <v>2296.6734708620406</v>
      </c>
    </row>
    <row r="41" spans="1:15" x14ac:dyDescent="0.3">
      <c r="A41" t="s">
        <v>168</v>
      </c>
      <c r="E41" t="s">
        <v>236</v>
      </c>
      <c r="F41" t="str">
        <f>UPPER(VLOOKUP(Обновление_цен[[#This Row],[Артикул]],Список_товар_API[],19,0))</f>
        <v>ACTUAL</v>
      </c>
      <c r="G4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1" s="28" t="s">
        <v>621</v>
      </c>
      <c r="I41" s="3">
        <f>VLOOKUP(Обновление_цен[[#This Row],[Артикул]],Список_товар_API[],21,0)</f>
        <v>500.89573796934235</v>
      </c>
      <c r="J41" s="3">
        <f>VLOOKUP(Обновление_цен[[#This Row],[Артикул]],Стоимости_товаров_OZON[],24,0)</f>
        <v>1301</v>
      </c>
      <c r="K41" s="3">
        <f>ROUNDUP(VLOOKUP(Обновление_цен[[#This Row],[Артикул]],Стоимости_товаров_OZON[],50,0),0)</f>
        <v>1761</v>
      </c>
      <c r="L41" s="3">
        <f>VLOOKUP(Обновление_цен[[#This Row],[Артикул]],Стоимости_товаров_OZON[],26,0)</f>
        <v>1761</v>
      </c>
      <c r="M41" s="3">
        <f>VLOOKUP(Обновление_цен[[#This Row],[Артикул]],Стоимости_товаров_OZON[],52,0)</f>
        <v>2726.53</v>
      </c>
      <c r="N41" s="3">
        <f>VLOOKUP(Обновление_цен[[#This Row],[Артикул]],Стоимости_товаров_OZON[],25,0)</f>
        <v>2438</v>
      </c>
      <c r="O41" s="3">
        <f>(Обновление_цен[[#This Row],[Себестоимость]]*4.5)+200</f>
        <v>2454.0308208620404</v>
      </c>
    </row>
    <row r="42" spans="1:15" x14ac:dyDescent="0.3">
      <c r="A42" t="s">
        <v>169</v>
      </c>
      <c r="E42" t="s">
        <v>238</v>
      </c>
      <c r="F42" t="str">
        <f>UPPER(VLOOKUP(Обновление_цен[[#This Row],[Артикул]],Список_товар_API[],19,0))</f>
        <v>ACTUAL</v>
      </c>
      <c r="G4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2" s="28" t="s">
        <v>621</v>
      </c>
      <c r="I42" s="3">
        <f>VLOOKUP(Обновление_цен[[#This Row],[Артикул]],Список_товар_API[],21,0)</f>
        <v>699.04943796934231</v>
      </c>
      <c r="J42" s="3">
        <f>VLOOKUP(Обновление_цен[[#This Row],[Артикул]],Стоимости_товаров_OZON[],24,0)</f>
        <v>1773</v>
      </c>
      <c r="K42" s="3">
        <f>ROUNDUP(VLOOKUP(Обновление_цен[[#This Row],[Артикул]],Стоимости_товаров_OZON[],50,0),0)</f>
        <v>2380</v>
      </c>
      <c r="L42" s="3">
        <f>VLOOKUP(Обновление_цен[[#This Row],[Артикул]],Стоимости_товаров_OZON[],26,0)</f>
        <v>2380</v>
      </c>
      <c r="M42" s="3">
        <f>VLOOKUP(Обновление_цен[[#This Row],[Артикул]],Стоимости_товаров_OZON[],52,0)</f>
        <v>3620.76</v>
      </c>
      <c r="N42" s="3">
        <f>VLOOKUP(Обновление_цен[[#This Row],[Артикул]],Стоимости_товаров_OZON[],25,0)</f>
        <v>3321</v>
      </c>
      <c r="O42" s="3">
        <f>(Обновление_цен[[#This Row],[Себестоимость]]*4.5)+200</f>
        <v>3345.7224708620406</v>
      </c>
    </row>
    <row r="43" spans="1:15" x14ac:dyDescent="0.3">
      <c r="A43" t="s">
        <v>170</v>
      </c>
      <c r="E43" t="s">
        <v>240</v>
      </c>
      <c r="F43" t="str">
        <f>UPPER(VLOOKUP(Обновление_цен[[#This Row],[Артикул]],Список_товар_API[],19,0))</f>
        <v>ACTUAL</v>
      </c>
      <c r="G4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3" s="28" t="s">
        <v>621</v>
      </c>
      <c r="I43" s="3">
        <f>VLOOKUP(Обновление_цен[[#This Row],[Артикул]],Список_товар_API[],21,0)</f>
        <v>699.04943796934231</v>
      </c>
      <c r="J43" s="3">
        <f>VLOOKUP(Обновление_цен[[#This Row],[Артикул]],Стоимости_товаров_OZON[],24,0)</f>
        <v>1773</v>
      </c>
      <c r="K43" s="3">
        <f>ROUNDUP(VLOOKUP(Обновление_цен[[#This Row],[Артикул]],Стоимости_товаров_OZON[],50,0),0)</f>
        <v>2380</v>
      </c>
      <c r="L43" s="3">
        <f>VLOOKUP(Обновление_цен[[#This Row],[Артикул]],Стоимости_товаров_OZON[],26,0)</f>
        <v>2380</v>
      </c>
      <c r="M43" s="3">
        <f>VLOOKUP(Обновление_цен[[#This Row],[Артикул]],Стоимости_товаров_OZON[],52,0)</f>
        <v>3620.76</v>
      </c>
      <c r="N43" s="3">
        <f>VLOOKUP(Обновление_цен[[#This Row],[Артикул]],Стоимости_товаров_OZON[],25,0)</f>
        <v>3321</v>
      </c>
      <c r="O43" s="3">
        <f>(Обновление_цен[[#This Row],[Себестоимость]]*4.5)+200</f>
        <v>3345.7224708620406</v>
      </c>
    </row>
    <row r="44" spans="1:15" x14ac:dyDescent="0.3">
      <c r="A44" t="s">
        <v>171</v>
      </c>
      <c r="E44" t="s">
        <v>242</v>
      </c>
      <c r="F44" t="str">
        <f>UPPER(VLOOKUP(Обновление_цен[[#This Row],[Артикул]],Список_товар_API[],19,0))</f>
        <v>ACTUAL</v>
      </c>
      <c r="G4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4" s="28" t="s">
        <v>621</v>
      </c>
      <c r="I44" s="3">
        <f>VLOOKUP(Обновление_цен[[#This Row],[Артикул]],Список_товар_API[],21,0)</f>
        <v>505.84004371257487</v>
      </c>
      <c r="J44" s="3">
        <f>VLOOKUP(Обновление_цен[[#This Row],[Артикул]],Стоимости_товаров_OZON[],24,0)</f>
        <v>1314</v>
      </c>
      <c r="K44" s="3">
        <f>ROUNDUP(VLOOKUP(Обновление_цен[[#This Row],[Артикул]],Стоимости_товаров_OZON[],50,0),0)</f>
        <v>1779</v>
      </c>
      <c r="L44" s="3">
        <f>VLOOKUP(Обновление_цен[[#This Row],[Артикул]],Стоимости_товаров_OZON[],26,0)</f>
        <v>1779</v>
      </c>
      <c r="M44" s="3">
        <f>VLOOKUP(Обновление_цен[[#This Row],[Артикул]],Стоимости_товаров_OZON[],52,0)</f>
        <v>2750.47</v>
      </c>
      <c r="N44" s="3">
        <f>VLOOKUP(Обновление_цен[[#This Row],[Артикул]],Стоимости_товаров_OZON[],25,0)</f>
        <v>2462</v>
      </c>
      <c r="O44" s="3">
        <f>(Обновление_цен[[#This Row],[Себестоимость]]*4.5)+200</f>
        <v>2476.280196706587</v>
      </c>
    </row>
    <row r="45" spans="1:15" x14ac:dyDescent="0.3">
      <c r="A45" t="s">
        <v>172</v>
      </c>
      <c r="E45" t="s">
        <v>244</v>
      </c>
      <c r="F45" t="str">
        <f>UPPER(VLOOKUP(Обновление_цен[[#This Row],[Артикул]],Список_товар_API[],19,0))</f>
        <v>ACTUAL</v>
      </c>
      <c r="G4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5" s="28" t="s">
        <v>621</v>
      </c>
      <c r="I45" s="3">
        <f>VLOOKUP(Обновление_цен[[#This Row],[Артикул]],Список_товар_API[],21,0)</f>
        <v>500.89573796934235</v>
      </c>
      <c r="J45" s="3">
        <f>VLOOKUP(Обновление_цен[[#This Row],[Артикул]],Стоимости_товаров_OZON[],24,0)</f>
        <v>1280</v>
      </c>
      <c r="K45" s="3">
        <f>ROUNDUP(VLOOKUP(Обновление_цен[[#This Row],[Артикул]],Стоимости_товаров_OZON[],50,0),0)</f>
        <v>1724</v>
      </c>
      <c r="L45" s="3">
        <f>VLOOKUP(Обновление_цен[[#This Row],[Артикул]],Стоимости_товаров_OZON[],26,0)</f>
        <v>1724</v>
      </c>
      <c r="M45" s="3">
        <f>VLOOKUP(Обновление_цен[[#This Row],[Артикул]],Стоимости_товаров_OZON[],52,0)</f>
        <v>2638.99</v>
      </c>
      <c r="N45" s="3">
        <f>VLOOKUP(Обновление_цен[[#This Row],[Артикул]],Стоимости_товаров_OZON[],25,0)</f>
        <v>2438</v>
      </c>
      <c r="O45" s="3">
        <f>(Обновление_цен[[#This Row],[Себестоимость]]*4.5)+200</f>
        <v>2454.0308208620404</v>
      </c>
    </row>
    <row r="46" spans="1:15" x14ac:dyDescent="0.3">
      <c r="A46" t="s">
        <v>173</v>
      </c>
      <c r="E46" t="s">
        <v>246</v>
      </c>
      <c r="F46" t="str">
        <f>UPPER(VLOOKUP(Обновление_цен[[#This Row],[Артикул]],Список_товар_API[],19,0))</f>
        <v>ACTUAL</v>
      </c>
      <c r="G4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6" s="28" t="s">
        <v>621</v>
      </c>
      <c r="I46" s="3">
        <f>VLOOKUP(Обновление_цен[[#This Row],[Артикул]],Список_товар_API[],21,0)</f>
        <v>699.04943796934231</v>
      </c>
      <c r="J46" s="3">
        <f>VLOOKUP(Обновление_цен[[#This Row],[Артикул]],Стоимости_товаров_OZON[],24,0)</f>
        <v>1773</v>
      </c>
      <c r="K46" s="3">
        <f>ROUNDUP(VLOOKUP(Обновление_цен[[#This Row],[Артикул]],Стоимости_товаров_OZON[],50,0),0)</f>
        <v>2380</v>
      </c>
      <c r="L46" s="3">
        <f>VLOOKUP(Обновление_цен[[#This Row],[Артикул]],Стоимости_товаров_OZON[],26,0)</f>
        <v>2380</v>
      </c>
      <c r="M46" s="3">
        <f>VLOOKUP(Обновление_цен[[#This Row],[Артикул]],Стоимости_товаров_OZON[],52,0)</f>
        <v>3620.76</v>
      </c>
      <c r="N46" s="3">
        <f>VLOOKUP(Обновление_цен[[#This Row],[Артикул]],Стоимости_товаров_OZON[],25,0)</f>
        <v>3321</v>
      </c>
      <c r="O46" s="3">
        <f>(Обновление_цен[[#This Row],[Себестоимость]]*4.5)+200</f>
        <v>3345.7224708620406</v>
      </c>
    </row>
    <row r="47" spans="1:15" x14ac:dyDescent="0.3">
      <c r="A47" t="s">
        <v>174</v>
      </c>
      <c r="E47" t="s">
        <v>403</v>
      </c>
      <c r="F47" t="str">
        <f>UPPER(VLOOKUP(Обновление_цен[[#This Row],[Артикул]],Список_товар_API[],19,0))</f>
        <v>ACTUAL</v>
      </c>
      <c r="G4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7" s="28" t="s">
        <v>621</v>
      </c>
      <c r="I47" s="3">
        <f>VLOOKUP(Обновление_цен[[#This Row],[Артикул]],Список_товар_API[],21,0)</f>
        <v>764.49744630789519</v>
      </c>
      <c r="J47" s="3">
        <f>VLOOKUP(Обновление_цен[[#This Row],[Артикул]],Стоимости_товаров_OZON[],24,0)</f>
        <v>1860</v>
      </c>
      <c r="K47" s="3">
        <f>ROUNDUP(VLOOKUP(Обновление_цен[[#This Row],[Артикул]],Стоимости_товаров_OZON[],50,0),0)</f>
        <v>2462</v>
      </c>
      <c r="L47" s="3">
        <f>VLOOKUP(Обновление_цен[[#This Row],[Артикул]],Стоимости_товаров_OZON[],26,0)</f>
        <v>2463</v>
      </c>
      <c r="M47" s="3">
        <f>VLOOKUP(Обновление_цен[[#This Row],[Артикул]],Стоимости_товаров_OZON[],52,0)</f>
        <v>3643.02</v>
      </c>
      <c r="N47" s="3">
        <f>VLOOKUP(Обновление_цен[[#This Row],[Артикул]],Стоимости_товаров_OZON[],25,0)</f>
        <v>3614</v>
      </c>
      <c r="O47" s="3">
        <f>(Обновление_цен[[#This Row],[Себестоимость]]*4.5)+200</f>
        <v>3640.2385083855283</v>
      </c>
    </row>
    <row r="48" spans="1:15" x14ac:dyDescent="0.3">
      <c r="A48" t="s">
        <v>175</v>
      </c>
      <c r="E48" t="s">
        <v>405</v>
      </c>
      <c r="F48" t="str">
        <f>UPPER(VLOOKUP(Обновление_цен[[#This Row],[Артикул]],Список_товар_API[],19,0))</f>
        <v>ACTUAL</v>
      </c>
      <c r="G4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8" s="28" t="s">
        <v>621</v>
      </c>
      <c r="I48" s="3">
        <f>VLOOKUP(Обновление_цен[[#This Row],[Артикул]],Список_товар_API[],21,0)</f>
        <v>913.69552630789508</v>
      </c>
      <c r="J48" s="3">
        <f>VLOOKUP(Обновление_цен[[#This Row],[Артикул]],Стоимости_товаров_OZON[],24,0)</f>
        <v>2182</v>
      </c>
      <c r="K48" s="3">
        <f>ROUNDUP(VLOOKUP(Обновление_цен[[#This Row],[Артикул]],Стоимости_товаров_OZON[],50,0),0)</f>
        <v>2872</v>
      </c>
      <c r="L48" s="3">
        <f>VLOOKUP(Обновление_цен[[#This Row],[Артикул]],Стоимости_товаров_OZON[],26,0)</f>
        <v>2872</v>
      </c>
      <c r="M48" s="3">
        <f>VLOOKUP(Обновление_цен[[#This Row],[Артикул]],Стоимости_товаров_OZON[],52,0)</f>
        <v>4202.07</v>
      </c>
      <c r="N48" s="3">
        <f>VLOOKUP(Обновление_цен[[#This Row],[Артикул]],Стоимости_товаров_OZON[],25,0)</f>
        <v>4279</v>
      </c>
      <c r="O48" s="3">
        <f>(Обновление_цен[[#This Row],[Себестоимость]]*4.5)+200</f>
        <v>4311.6298683855275</v>
      </c>
    </row>
    <row r="49" spans="1:15" x14ac:dyDescent="0.3">
      <c r="A49" t="s">
        <v>176</v>
      </c>
      <c r="E49" t="s">
        <v>408</v>
      </c>
      <c r="F49" t="str">
        <f>UPPER(VLOOKUP(Обновление_цен[[#This Row],[Артикул]],Список_товар_API[],19,0))</f>
        <v>ACTUAL</v>
      </c>
      <c r="G4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49" s="28" t="s">
        <v>621</v>
      </c>
      <c r="I49" s="3">
        <f>VLOOKUP(Обновление_цен[[#This Row],[Артикул]],Список_товар_API[],21,0)</f>
        <v>764.49744630789519</v>
      </c>
      <c r="J49" s="3">
        <f>VLOOKUP(Обновление_цен[[#This Row],[Артикул]],Стоимости_товаров_OZON[],24,0)</f>
        <v>1860</v>
      </c>
      <c r="K49" s="3">
        <f>ROUNDUP(VLOOKUP(Обновление_цен[[#This Row],[Артикул]],Стоимости_товаров_OZON[],50,0),0)</f>
        <v>2462</v>
      </c>
      <c r="L49" s="3">
        <f>VLOOKUP(Обновление_цен[[#This Row],[Артикул]],Стоимости_товаров_OZON[],26,0)</f>
        <v>2463</v>
      </c>
      <c r="M49" s="3">
        <f>VLOOKUP(Обновление_цен[[#This Row],[Артикул]],Стоимости_товаров_OZON[],52,0)</f>
        <v>3643.02</v>
      </c>
      <c r="N49" s="3">
        <f>VLOOKUP(Обновление_цен[[#This Row],[Артикул]],Стоимости_товаров_OZON[],25,0)</f>
        <v>3614</v>
      </c>
      <c r="O49" s="3">
        <f>(Обновление_цен[[#This Row],[Себестоимость]]*4.5)+200</f>
        <v>3640.2385083855283</v>
      </c>
    </row>
    <row r="50" spans="1:15" x14ac:dyDescent="0.3">
      <c r="A50" t="s">
        <v>178</v>
      </c>
      <c r="E50" t="s">
        <v>410</v>
      </c>
      <c r="F50" t="str">
        <f>UPPER(VLOOKUP(Обновление_цен[[#This Row],[Артикул]],Список_товар_API[],19,0))</f>
        <v>ACTUAL</v>
      </c>
      <c r="G5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50" s="28" t="s">
        <v>621</v>
      </c>
      <c r="I50" s="3">
        <f>VLOOKUP(Обновление_цен[[#This Row],[Артикул]],Список_товар_API[],21,0)</f>
        <v>532.08723862275451</v>
      </c>
      <c r="J50" s="3">
        <f>VLOOKUP(Обновление_цен[[#This Row],[Артикул]],Стоимости_товаров_OZON[],24,0)</f>
        <v>1314</v>
      </c>
      <c r="K50" s="3">
        <f>ROUNDUP(VLOOKUP(Обновление_цен[[#This Row],[Артикул]],Стоимости_товаров_OZON[],50,0),0)</f>
        <v>1749</v>
      </c>
      <c r="L50" s="3">
        <f>VLOOKUP(Обновление_цен[[#This Row],[Артикул]],Стоимости_товаров_OZON[],26,0)</f>
        <v>1749</v>
      </c>
      <c r="M50" s="3">
        <f>VLOOKUP(Обновление_цен[[#This Row],[Артикул]],Стоимости_товаров_OZON[],52,0)</f>
        <v>2613.6999999999998</v>
      </c>
      <c r="N50" s="3">
        <f>VLOOKUP(Обновление_цен[[#This Row],[Артикул]],Стоимости_товаров_OZON[],25,0)</f>
        <v>2577</v>
      </c>
      <c r="O50" s="3">
        <f>(Обновление_цен[[#This Row],[Себестоимость]]*4.5)+200</f>
        <v>2594.3925738023954</v>
      </c>
    </row>
    <row r="51" spans="1:15" x14ac:dyDescent="0.3">
      <c r="A51" t="s">
        <v>179</v>
      </c>
      <c r="E51" t="s">
        <v>253</v>
      </c>
      <c r="F51" t="str">
        <f>UPPER(VLOOKUP(Обновление_цен[[#This Row],[Артикул]],Список_товар_API[],19,0))</f>
        <v>ACTUAL</v>
      </c>
      <c r="G5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1" s="28" t="s">
        <v>621</v>
      </c>
      <c r="I51" s="3">
        <f>VLOOKUP(Обновление_цен[[#This Row],[Артикул]],Список_товар_API[],21,0)</f>
        <v>4345.1212137981347</v>
      </c>
      <c r="J51" s="3">
        <f>VLOOKUP(Обновление_цен[[#This Row],[Артикул]],Стоимости_товаров_OZON[],24,0)</f>
        <v>11558</v>
      </c>
      <c r="K51" s="3">
        <f>ROUNDUP(VLOOKUP(Обновление_цен[[#This Row],[Артикул]],Стоимости_товаров_OZON[],50,0),0)</f>
        <v>11577</v>
      </c>
      <c r="L51" s="3">
        <f>VLOOKUP(Обновление_цен[[#This Row],[Артикул]],Стоимости_товаров_OZON[],26,0)</f>
        <v>15756</v>
      </c>
      <c r="M51" s="3">
        <f>VLOOKUP(Обновление_цен[[#This Row],[Артикул]],Стоимости_товаров_OZON[],52,0)</f>
        <v>15781.28</v>
      </c>
      <c r="N51" s="3">
        <f>VLOOKUP(Обновление_цен[[#This Row],[Артикул]],Стоимости_товаров_OZON[],25,0)</f>
        <v>19753</v>
      </c>
      <c r="O51" s="3">
        <f>(Обновление_цен[[#This Row],[Себестоимость]]*4.5)+200</f>
        <v>19753.045462091606</v>
      </c>
    </row>
    <row r="52" spans="1:15" x14ac:dyDescent="0.3">
      <c r="A52" t="s">
        <v>359</v>
      </c>
      <c r="E52" t="s">
        <v>361</v>
      </c>
      <c r="F52" t="str">
        <f>UPPER(VLOOKUP(Обновление_цен[[#This Row],[Артикул]],Список_товар_API[],19,0))</f>
        <v>ACTUAL</v>
      </c>
      <c r="G5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52" s="28" t="s">
        <v>621</v>
      </c>
      <c r="I52" s="3">
        <f>VLOOKUP(Обновление_цен[[#This Row],[Артикул]],Список_товар_API[],21,0)</f>
        <v>167.01052215568859</v>
      </c>
      <c r="J52" s="3">
        <f>VLOOKUP(Обновление_цен[[#This Row],[Артикул]],Стоимости_товаров_OZON[],24,0)</f>
        <v>519</v>
      </c>
      <c r="K52" s="3">
        <f>ROUNDUP(VLOOKUP(Обновление_цен[[#This Row],[Артикул]],Стоимости_товаров_OZON[],50,0),0)</f>
        <v>747</v>
      </c>
      <c r="L52" s="3">
        <f>VLOOKUP(Обновление_цен[[#This Row],[Артикул]],Стоимости_товаров_OZON[],26,0)</f>
        <v>753</v>
      </c>
      <c r="M52" s="3">
        <f>VLOOKUP(Обновление_цен[[#This Row],[Артикул]],Стоимости_товаров_OZON[],52,0)</f>
        <v>1357.64</v>
      </c>
      <c r="N52" s="3">
        <f>VLOOKUP(Обновление_цен[[#This Row],[Артикул]],Стоимости_товаров_OZON[],25,0)</f>
        <v>949</v>
      </c>
      <c r="O52" s="3">
        <f>(Обновление_цен[[#This Row],[Себестоимость]]*4.5)+200</f>
        <v>951.54734970059872</v>
      </c>
    </row>
    <row r="53" spans="1:15" x14ac:dyDescent="0.3">
      <c r="A53" t="s">
        <v>368</v>
      </c>
      <c r="E53" t="s">
        <v>413</v>
      </c>
      <c r="F53" t="str">
        <f>UPPER(VLOOKUP(Обновление_цен[[#This Row],[Артикул]],Список_товар_API[],19,0))</f>
        <v>ACTUAL</v>
      </c>
      <c r="G5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3" s="28" t="s">
        <v>621</v>
      </c>
      <c r="I53" s="3">
        <f>VLOOKUP(Обновление_цен[[#This Row],[Артикул]],Список_товар_API[],21,0)</f>
        <v>98810.623900000006</v>
      </c>
      <c r="J53" s="3">
        <f>VLOOKUP(Обновление_цен[[#This Row],[Артикул]],Стоимости_товаров_OZON[],24,0)</f>
        <v>244976</v>
      </c>
      <c r="K53" s="3">
        <f>ROUNDUP(VLOOKUP(Обновление_цен[[#This Row],[Артикул]],Стоимости_товаров_OZON[],50,0),0)</f>
        <v>245363</v>
      </c>
      <c r="L53" s="3">
        <f>VLOOKUP(Обновление_цен[[#This Row],[Артикул]],Стоимости_товаров_OZON[],26,0)</f>
        <v>325902</v>
      </c>
      <c r="M53" s="3">
        <f>VLOOKUP(Обновление_цен[[#This Row],[Артикул]],Стоимости_товаров_OZON[],52,0)</f>
        <v>326416.94</v>
      </c>
      <c r="N53" s="3">
        <f>VLOOKUP(Обновление_цен[[#This Row],[Артикул]],Стоимости_товаров_OZON[],25,0)</f>
        <v>444848</v>
      </c>
      <c r="O53" s="3">
        <f>(Обновление_цен[[#This Row],[Себестоимость]]*4.5)+200</f>
        <v>444847.80755000003</v>
      </c>
    </row>
    <row r="54" spans="1:15" x14ac:dyDescent="0.3">
      <c r="A54" t="s">
        <v>370</v>
      </c>
      <c r="E54" t="s">
        <v>372</v>
      </c>
      <c r="F54" t="str">
        <f>UPPER(VLOOKUP(Обновление_цен[[#This Row],[Артикул]],Список_товар_API[],19,0))</f>
        <v>ACTUAL</v>
      </c>
      <c r="G5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54" s="28" t="s">
        <v>621</v>
      </c>
      <c r="I54" s="3">
        <f>VLOOKUP(Обновление_цен[[#This Row],[Артикул]],Список_товар_API[],21,0)</f>
        <v>394.27139769243445</v>
      </c>
      <c r="J54" s="3">
        <f>VLOOKUP(Обновление_цен[[#This Row],[Артикул]],Стоимости_товаров_OZON[],24,0)</f>
        <v>1061</v>
      </c>
      <c r="K54" s="3">
        <f>ROUNDUP(VLOOKUP(Обновление_цен[[#This Row],[Артикул]],Стоимости_товаров_OZON[],50,0),0)</f>
        <v>1453</v>
      </c>
      <c r="L54" s="3">
        <f>VLOOKUP(Обновление_цен[[#This Row],[Артикул]],Стоимости_товаров_OZON[],26,0)</f>
        <v>1454</v>
      </c>
      <c r="M54" s="3">
        <f>VLOOKUP(Обновление_цен[[#This Row],[Артикул]],Стоимости_товаров_OZON[],52,0)</f>
        <v>2307.4699999999998</v>
      </c>
      <c r="N54" s="3">
        <f>VLOOKUP(Обновление_цен[[#This Row],[Артикул]],Стоимости_товаров_OZON[],25,0)</f>
        <v>1963</v>
      </c>
      <c r="O54" s="3">
        <f>(Обновление_цен[[#This Row],[Себестоимость]]*4.5)+200</f>
        <v>1974.2212896159549</v>
      </c>
    </row>
    <row r="55" spans="1:15" x14ac:dyDescent="0.3">
      <c r="A55" t="s">
        <v>373</v>
      </c>
      <c r="E55" t="s">
        <v>375</v>
      </c>
      <c r="F55" t="str">
        <f>UPPER(VLOOKUP(Обновление_цен[[#This Row],[Артикул]],Список_товар_API[],19,0))</f>
        <v>ACTUAL</v>
      </c>
      <c r="G5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5" s="28" t="s">
        <v>621</v>
      </c>
      <c r="I55" s="3">
        <f>VLOOKUP(Обновление_цен[[#This Row],[Артикул]],Список_товар_API[],21,0)</f>
        <v>4262.7272836593784</v>
      </c>
      <c r="J55" s="3">
        <f>VLOOKUP(Обновление_цен[[#This Row],[Артикул]],Стоимости_товаров_OZON[],24,0)</f>
        <v>11174</v>
      </c>
      <c r="K55" s="3">
        <f>ROUNDUP(VLOOKUP(Обновление_цен[[#This Row],[Артикул]],Стоимости_товаров_OZON[],50,0),0)</f>
        <v>11193</v>
      </c>
      <c r="L55" s="3">
        <f>VLOOKUP(Обновление_цен[[#This Row],[Артикул]],Стоимости_товаров_OZON[],26,0)</f>
        <v>15152</v>
      </c>
      <c r="M55" s="3">
        <f>VLOOKUP(Обновление_цен[[#This Row],[Артикул]],Стоимости_товаров_OZON[],52,0)</f>
        <v>15176.71</v>
      </c>
      <c r="N55" s="3">
        <f>VLOOKUP(Обновление_цен[[#This Row],[Артикул]],Стоимости_товаров_OZON[],25,0)</f>
        <v>19382</v>
      </c>
      <c r="O55" s="3">
        <f>(Обновление_цен[[#This Row],[Себестоимость]]*4.5)+200</f>
        <v>19382.272776467202</v>
      </c>
    </row>
    <row r="56" spans="1:15" x14ac:dyDescent="0.3">
      <c r="A56" t="s">
        <v>377</v>
      </c>
      <c r="E56" t="s">
        <v>387</v>
      </c>
      <c r="F56" t="str">
        <f>UPPER(VLOOKUP(Обновление_цен[[#This Row],[Артикул]],Список_товар_API[],19,0))</f>
        <v>ACTUAL</v>
      </c>
      <c r="G5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6" s="28" t="s">
        <v>621</v>
      </c>
      <c r="I56" s="3">
        <f>VLOOKUP(Обновление_цен[[#This Row],[Артикул]],Список_товар_API[],21,0)</f>
        <v>2630.873283659379</v>
      </c>
      <c r="J56" s="3">
        <f>VLOOKUP(Обновление_цен[[#This Row],[Артикул]],Стоимости_товаров_OZON[],24,0)</f>
        <v>7256</v>
      </c>
      <c r="K56" s="3">
        <f>ROUNDUP(VLOOKUP(Обновление_цен[[#This Row],[Артикул]],Стоимости_товаров_OZON[],50,0),0)</f>
        <v>7267</v>
      </c>
      <c r="L56" s="3">
        <f>VLOOKUP(Обновление_цен[[#This Row],[Артикул]],Стоимости_товаров_OZON[],26,0)</f>
        <v>10024</v>
      </c>
      <c r="M56" s="3">
        <f>VLOOKUP(Обновление_цен[[#This Row],[Артикул]],Стоимости_товаров_OZON[],52,0)</f>
        <v>10038.879999999999</v>
      </c>
      <c r="N56" s="3">
        <f>VLOOKUP(Обновление_цен[[#This Row],[Артикул]],Стоимости_товаров_OZON[],25,0)</f>
        <v>12039</v>
      </c>
      <c r="O56" s="3">
        <f>(Обновление_цен[[#This Row],[Себестоимость]]*4.5)+200</f>
        <v>12038.929776467205</v>
      </c>
    </row>
    <row r="57" spans="1:15" x14ac:dyDescent="0.3">
      <c r="A57" t="s">
        <v>379</v>
      </c>
      <c r="E57" t="s">
        <v>388</v>
      </c>
      <c r="F57" t="str">
        <f>UPPER(VLOOKUP(Обновление_цен[[#This Row],[Артикул]],Список_товар_API[],19,0))</f>
        <v>ACTUAL</v>
      </c>
      <c r="G5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7" s="28" t="s">
        <v>621</v>
      </c>
      <c r="I57" s="3">
        <f>VLOOKUP(Обновление_цен[[#This Row],[Артикул]],Список_товар_API[],21,0)</f>
        <v>1628.4486836593785</v>
      </c>
      <c r="J57" s="3">
        <f>VLOOKUP(Обновление_цен[[#This Row],[Артикул]],Стоимости_товаров_OZON[],24,0)</f>
        <v>4557</v>
      </c>
      <c r="K57" s="3">
        <f>ROUNDUP(VLOOKUP(Обновление_цен[[#This Row],[Артикул]],Стоимости_товаров_OZON[],50,0),0)</f>
        <v>4562</v>
      </c>
      <c r="L57" s="3">
        <f>VLOOKUP(Обновление_цен[[#This Row],[Артикул]],Стоимости_товаров_OZON[],26,0)</f>
        <v>6330</v>
      </c>
      <c r="M57" s="3">
        <f>VLOOKUP(Обновление_цен[[#This Row],[Артикул]],Стоимости_товаров_OZON[],52,0)</f>
        <v>6337.67</v>
      </c>
      <c r="N57" s="3">
        <f>VLOOKUP(Обновление_цен[[#This Row],[Артикул]],Стоимости_товаров_OZON[],25,0)</f>
        <v>7528</v>
      </c>
      <c r="O57" s="3">
        <f>(Обновление_цен[[#This Row],[Себестоимость]]*4.5)+200</f>
        <v>7528.0190764672034</v>
      </c>
    </row>
    <row r="58" spans="1:15" x14ac:dyDescent="0.3">
      <c r="A58" t="s">
        <v>381</v>
      </c>
      <c r="E58" t="s">
        <v>416</v>
      </c>
      <c r="F58" t="str">
        <f>UPPER(VLOOKUP(Обновление_цен[[#This Row],[Артикул]],Список_товар_API[],19,0))</f>
        <v>ACTUAL</v>
      </c>
      <c r="G5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8" s="28" t="s">
        <v>621</v>
      </c>
      <c r="I58" s="3">
        <f>VLOOKUP(Обновление_цен[[#This Row],[Артикул]],Список_товар_API[],21,0)</f>
        <v>789.19228112773305</v>
      </c>
      <c r="J58" s="3">
        <f>VLOOKUP(Обновление_цен[[#This Row],[Артикул]],Стоимости_товаров_OZON[],24,0)</f>
        <v>1958</v>
      </c>
      <c r="K58" s="3">
        <f>ROUNDUP(VLOOKUP(Обновление_цен[[#This Row],[Артикул]],Стоимости_товаров_OZON[],50,0),0)</f>
        <v>2041</v>
      </c>
      <c r="L58" s="3">
        <f>VLOOKUP(Обновление_цен[[#This Row],[Артикул]],Стоимости_товаров_OZON[],26,0)</f>
        <v>2604</v>
      </c>
      <c r="M58" s="3">
        <f>VLOOKUP(Обновление_цен[[#This Row],[Артикул]],Стоимости_товаров_OZON[],52,0)</f>
        <v>2752.33</v>
      </c>
      <c r="N58" s="3">
        <f>VLOOKUP(Обновление_цен[[#This Row],[Артикул]],Стоимости_товаров_OZON[],25,0)</f>
        <v>3751</v>
      </c>
      <c r="O58" s="3">
        <f>(Обновление_цен[[#This Row],[Себестоимость]]*4.5)+200</f>
        <v>3751.3652650747986</v>
      </c>
    </row>
    <row r="59" spans="1:15" x14ac:dyDescent="0.3">
      <c r="A59" t="s">
        <v>384</v>
      </c>
      <c r="E59" t="s">
        <v>417</v>
      </c>
      <c r="F59" t="str">
        <f>UPPER(VLOOKUP(Обновление_цен[[#This Row],[Артикул]],Список_товар_API[],19,0))</f>
        <v>ACTUAL</v>
      </c>
      <c r="G5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59" s="28" t="s">
        <v>621</v>
      </c>
      <c r="I59" s="3">
        <f>VLOOKUP(Обновление_цен[[#This Row],[Артикул]],Список_товар_API[],21,0)</f>
        <v>1931.4900811277332</v>
      </c>
      <c r="J59" s="3">
        <f>VLOOKUP(Обновление_цен[[#This Row],[Артикул]],Стоимости_товаров_OZON[],24,0)</f>
        <v>4583</v>
      </c>
      <c r="K59" s="3">
        <f>ROUNDUP(VLOOKUP(Обновление_цен[[#This Row],[Артикул]],Стоимости_товаров_OZON[],50,0),0)</f>
        <v>4587</v>
      </c>
      <c r="L59" s="3">
        <f>VLOOKUP(Обновление_цен[[#This Row],[Артикул]],Стоимости_товаров_OZON[],26,0)</f>
        <v>6010</v>
      </c>
      <c r="M59" s="3">
        <f>VLOOKUP(Обновление_цен[[#This Row],[Артикул]],Стоимости_товаров_OZON[],52,0)</f>
        <v>6015.86</v>
      </c>
      <c r="N59" s="3">
        <f>VLOOKUP(Обновление_цен[[#This Row],[Артикул]],Стоимости_товаров_OZON[],25,0)</f>
        <v>8892</v>
      </c>
      <c r="O59" s="3">
        <f>(Обновление_цен[[#This Row],[Себестоимость]]*4.5)+200</f>
        <v>8891.7053650748003</v>
      </c>
    </row>
    <row r="60" spans="1:15" x14ac:dyDescent="0.3">
      <c r="A60" t="s">
        <v>385</v>
      </c>
      <c r="E60" t="s">
        <v>418</v>
      </c>
      <c r="F60" t="str">
        <f>UPPER(VLOOKUP(Обновление_цен[[#This Row],[Артикул]],Список_товар_API[],19,0))</f>
        <v>ACTUAL</v>
      </c>
      <c r="G6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60" s="28" t="s">
        <v>621</v>
      </c>
      <c r="I60" s="3">
        <f>VLOOKUP(Обновление_цен[[#This Row],[Артикул]],Список_товар_API[],21,0)</f>
        <v>3668.2489811277328</v>
      </c>
      <c r="J60" s="3">
        <f>VLOOKUP(Обновление_цен[[#This Row],[Артикул]],Стоимости_товаров_OZON[],24,0)</f>
        <v>8860</v>
      </c>
      <c r="K60" s="3">
        <f>ROUNDUP(VLOOKUP(Обновление_цен[[#This Row],[Артикул]],Стоимости_товаров_OZON[],50,0),0)</f>
        <v>8874</v>
      </c>
      <c r="L60" s="3">
        <f>VLOOKUP(Обновление_цен[[#This Row],[Артикул]],Стоимости_товаров_OZON[],26,0)</f>
        <v>11687</v>
      </c>
      <c r="M60" s="3">
        <f>VLOOKUP(Обновление_цен[[#This Row],[Артикул]],Стоимости_товаров_OZON[],52,0)</f>
        <v>11705.73</v>
      </c>
      <c r="N60" s="3">
        <f>VLOOKUP(Обновление_цен[[#This Row],[Артикул]],Стоимости_товаров_OZON[],25,0)</f>
        <v>16707</v>
      </c>
      <c r="O60" s="3">
        <f>(Обновление_цен[[#This Row],[Себестоимость]]*4.5)+200</f>
        <v>16707.120415074798</v>
      </c>
    </row>
    <row r="61" spans="1:15" x14ac:dyDescent="0.3">
      <c r="A61" t="s">
        <v>386</v>
      </c>
      <c r="E61" t="s">
        <v>419</v>
      </c>
      <c r="F61" t="str">
        <f>UPPER(VLOOKUP(Обновление_цен[[#This Row],[Артикул]],Список_товар_API[],19,0))</f>
        <v>ACTUAL</v>
      </c>
      <c r="G6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61" s="28" t="s">
        <v>621</v>
      </c>
      <c r="I61" s="3">
        <f>VLOOKUP(Обновление_цен[[#This Row],[Артикул]],Список_товар_API[],21,0)</f>
        <v>677.9710366067942</v>
      </c>
      <c r="J61" s="3">
        <f>VLOOKUP(Обновление_цен[[#This Row],[Артикул]],Стоимости_товаров_OZON[],24,0)</f>
        <v>1702</v>
      </c>
      <c r="K61" s="3">
        <f>ROUNDUP(VLOOKUP(Обновление_цен[[#This Row],[Артикул]],Стоимости_товаров_OZON[],50,0),0)</f>
        <v>1704</v>
      </c>
      <c r="L61" s="3">
        <f>VLOOKUP(Обновление_цен[[#This Row],[Артикул]],Стоимости_товаров_OZON[],26,0)</f>
        <v>2272</v>
      </c>
      <c r="M61" s="3">
        <f>VLOOKUP(Обновление_цен[[#This Row],[Артикул]],Стоимости_товаров_OZON[],52,0)</f>
        <v>2275.62</v>
      </c>
      <c r="N61" s="3">
        <f>VLOOKUP(Обновление_цен[[#This Row],[Артикул]],Стоимости_товаров_OZON[],25,0)</f>
        <v>3251</v>
      </c>
      <c r="O61" s="3">
        <f>(Обновление_цен[[#This Row],[Себестоимость]]*4.5)+200</f>
        <v>3250.8696647305737</v>
      </c>
    </row>
    <row r="62" spans="1:15" x14ac:dyDescent="0.3">
      <c r="A62" t="s">
        <v>569</v>
      </c>
      <c r="E62" t="s">
        <v>571</v>
      </c>
      <c r="F62" t="str">
        <f>UPPER(VLOOKUP(Обновление_цен[[#This Row],[Артикул]],Список_товар_API[],19,0))</f>
        <v>ACTUAL</v>
      </c>
      <c r="G6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2" s="28" t="s">
        <v>621</v>
      </c>
      <c r="I62" s="3">
        <f>VLOOKUP(Обновление_цен[[#This Row],[Артикул]],Список_товар_API[],21,0)</f>
        <v>500.89573796934235</v>
      </c>
      <c r="J62" s="3">
        <f>VLOOKUP(Обновление_цен[[#This Row],[Артикул]],Стоимости_товаров_OZON[],24,0)</f>
        <v>1301</v>
      </c>
      <c r="K62" s="3">
        <f>ROUNDUP(VLOOKUP(Обновление_цен[[#This Row],[Артикул]],Стоимости_товаров_OZON[],50,0),0)</f>
        <v>1761</v>
      </c>
      <c r="L62" s="3">
        <f>VLOOKUP(Обновление_цен[[#This Row],[Артикул]],Стоимости_товаров_OZON[],26,0)</f>
        <v>1761</v>
      </c>
      <c r="M62" s="3">
        <f>VLOOKUP(Обновление_цен[[#This Row],[Артикул]],Стоимости_товаров_OZON[],52,0)</f>
        <v>2726.53</v>
      </c>
      <c r="N62" s="3">
        <f>VLOOKUP(Обновление_цен[[#This Row],[Артикул]],Стоимости_товаров_OZON[],25,0)</f>
        <v>2438</v>
      </c>
      <c r="O62" s="3">
        <f>(Обновление_цен[[#This Row],[Себестоимость]]*4.5)+200</f>
        <v>2454.0308208620404</v>
      </c>
    </row>
    <row r="63" spans="1:15" x14ac:dyDescent="0.3">
      <c r="A63" t="s">
        <v>572</v>
      </c>
      <c r="E63" t="s">
        <v>574</v>
      </c>
      <c r="F63" t="str">
        <f>UPPER(VLOOKUP(Обновление_цен[[#This Row],[Артикул]],Список_товар_API[],19,0))</f>
        <v>ACTUAL</v>
      </c>
      <c r="G6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3" s="28" t="s">
        <v>621</v>
      </c>
      <c r="I63" s="3">
        <f>VLOOKUP(Обновление_цен[[#This Row],[Артикул]],Список_товар_API[],21,0)</f>
        <v>500.89573796934235</v>
      </c>
      <c r="J63" s="3">
        <f>VLOOKUP(Обновление_цен[[#This Row],[Артикул]],Стоимости_товаров_OZON[],24,0)</f>
        <v>1301</v>
      </c>
      <c r="K63" s="3">
        <f>ROUNDUP(VLOOKUP(Обновление_цен[[#This Row],[Артикул]],Стоимости_товаров_OZON[],50,0),0)</f>
        <v>1761</v>
      </c>
      <c r="L63" s="3">
        <f>VLOOKUP(Обновление_цен[[#This Row],[Артикул]],Стоимости_товаров_OZON[],26,0)</f>
        <v>1761</v>
      </c>
      <c r="M63" s="3">
        <f>VLOOKUP(Обновление_цен[[#This Row],[Артикул]],Стоимости_товаров_OZON[],52,0)</f>
        <v>2726.53</v>
      </c>
      <c r="N63" s="3">
        <f>VLOOKUP(Обновление_цен[[#This Row],[Артикул]],Стоимости_товаров_OZON[],25,0)</f>
        <v>2438</v>
      </c>
      <c r="O63" s="3">
        <f>(Обновление_цен[[#This Row],[Себестоимость]]*4.5)+200</f>
        <v>2454.0308208620404</v>
      </c>
    </row>
    <row r="64" spans="1:15" x14ac:dyDescent="0.3">
      <c r="A64" t="s">
        <v>568</v>
      </c>
      <c r="E64" t="s">
        <v>576</v>
      </c>
      <c r="F64" t="str">
        <f>UPPER(VLOOKUP(Обновление_цен[[#This Row],[Артикул]],Список_товар_API[],19,0))</f>
        <v>ACTUAL</v>
      </c>
      <c r="G6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4" s="28" t="s">
        <v>621</v>
      </c>
      <c r="I64" s="3">
        <f>VLOOKUP(Обновление_цен[[#This Row],[Артикул]],Список_товар_API[],21,0)</f>
        <v>500.89573796934235</v>
      </c>
      <c r="J64" s="3">
        <f>VLOOKUP(Обновление_цен[[#This Row],[Артикул]],Стоимости_товаров_OZON[],24,0)</f>
        <v>1301</v>
      </c>
      <c r="K64" s="3">
        <f>ROUNDUP(VLOOKUP(Обновление_цен[[#This Row],[Артикул]],Стоимости_товаров_OZON[],50,0),0)</f>
        <v>1761</v>
      </c>
      <c r="L64" s="3">
        <f>VLOOKUP(Обновление_цен[[#This Row],[Артикул]],Стоимости_товаров_OZON[],26,0)</f>
        <v>1761</v>
      </c>
      <c r="M64" s="3">
        <f>VLOOKUP(Обновление_цен[[#This Row],[Артикул]],Стоимости_товаров_OZON[],52,0)</f>
        <v>2726.53</v>
      </c>
      <c r="N64" s="3">
        <f>VLOOKUP(Обновление_цен[[#This Row],[Артикул]],Стоимости_товаров_OZON[],25,0)</f>
        <v>2438</v>
      </c>
      <c r="O64" s="3">
        <f>(Обновление_цен[[#This Row],[Себестоимость]]*4.5)+200</f>
        <v>2454.0308208620404</v>
      </c>
    </row>
    <row r="65" spans="1:15" x14ac:dyDescent="0.3">
      <c r="A65" t="s">
        <v>577</v>
      </c>
      <c r="E65" t="s">
        <v>579</v>
      </c>
      <c r="F65" t="str">
        <f>UPPER(VLOOKUP(Обновление_цен[[#This Row],[Артикул]],Список_товар_API[],19,0))</f>
        <v>ACTUAL</v>
      </c>
      <c r="G6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5" s="28" t="s">
        <v>621</v>
      </c>
      <c r="I65" s="3">
        <f>VLOOKUP(Обновление_цен[[#This Row],[Артикул]],Список_товар_API[],21,0)</f>
        <v>500.89573796934235</v>
      </c>
      <c r="J65" s="3">
        <f>VLOOKUP(Обновление_цен[[#This Row],[Артикул]],Стоимости_товаров_OZON[],24,0)</f>
        <v>1301</v>
      </c>
      <c r="K65" s="3">
        <f>ROUNDUP(VLOOKUP(Обновление_цен[[#This Row],[Артикул]],Стоимости_товаров_OZON[],50,0),0)</f>
        <v>1761</v>
      </c>
      <c r="L65" s="3">
        <f>VLOOKUP(Обновление_цен[[#This Row],[Артикул]],Стоимости_товаров_OZON[],26,0)</f>
        <v>1761</v>
      </c>
      <c r="M65" s="3">
        <f>VLOOKUP(Обновление_цен[[#This Row],[Артикул]],Стоимости_товаров_OZON[],52,0)</f>
        <v>2726.53</v>
      </c>
      <c r="N65" s="3">
        <f>VLOOKUP(Обновление_цен[[#This Row],[Артикул]],Стоимости_товаров_OZON[],25,0)</f>
        <v>2438</v>
      </c>
      <c r="O65" s="3">
        <f>(Обновление_цен[[#This Row],[Себестоимость]]*4.5)+200</f>
        <v>2454.0308208620404</v>
      </c>
    </row>
    <row r="66" spans="1:15" x14ac:dyDescent="0.3">
      <c r="A66" t="s">
        <v>581</v>
      </c>
      <c r="E66" t="s">
        <v>583</v>
      </c>
      <c r="F66" t="str">
        <f>UPPER(VLOOKUP(Обновление_цен[[#This Row],[Артикул]],Список_товар_API[],19,0))</f>
        <v>ACTUAL</v>
      </c>
      <c r="G6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6" s="28" t="s">
        <v>621</v>
      </c>
      <c r="I66" s="3">
        <f>VLOOKUP(Обновление_цен[[#This Row],[Артикул]],Список_товар_API[],21,0)</f>
        <v>764.49744630789519</v>
      </c>
      <c r="J66" s="3">
        <f>VLOOKUP(Обновление_цен[[#This Row],[Артикул]],Стоимости_товаров_OZON[],24,0)</f>
        <v>1879</v>
      </c>
      <c r="K66" s="3">
        <f>ROUNDUP(VLOOKUP(Обновление_цен[[#This Row],[Артикул]],Стоимости_товаров_OZON[],50,0),0)</f>
        <v>2496</v>
      </c>
      <c r="L66" s="3">
        <f>VLOOKUP(Обновление_цен[[#This Row],[Артикул]],Стоимости_товаров_OZON[],26,0)</f>
        <v>2497</v>
      </c>
      <c r="M66" s="3">
        <f>VLOOKUP(Обновление_цен[[#This Row],[Артикул]],Стоимости_товаров_OZON[],52,0)</f>
        <v>3717</v>
      </c>
      <c r="N66" s="3">
        <f>VLOOKUP(Обновление_цен[[#This Row],[Артикул]],Стоимости_товаров_OZON[],25,0)</f>
        <v>3614</v>
      </c>
      <c r="O66" s="3">
        <f>(Обновление_цен[[#This Row],[Себестоимость]]*4.5)+200</f>
        <v>3640.2385083855283</v>
      </c>
    </row>
    <row r="67" spans="1:15" x14ac:dyDescent="0.3">
      <c r="A67" t="s">
        <v>586</v>
      </c>
      <c r="E67" t="s">
        <v>588</v>
      </c>
      <c r="F67" t="str">
        <f>UPPER(VLOOKUP(Обновление_цен[[#This Row],[Артикул]],Список_товар_API[],19,0))</f>
        <v>ACTUAL</v>
      </c>
      <c r="G6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67" s="28" t="s">
        <v>621</v>
      </c>
      <c r="I67" s="3">
        <f>VLOOKUP(Обновление_цен[[#This Row],[Артикул]],Список_товар_API[],21,0)</f>
        <v>1725.7936838785333</v>
      </c>
      <c r="J67" s="3">
        <f>VLOOKUP(Обновление_цен[[#This Row],[Артикул]],Стоимости_товаров_OZON[],24,0)</f>
        <v>4720</v>
      </c>
      <c r="K67" s="3">
        <f>ROUNDUP(VLOOKUP(Обновление_цен[[#This Row],[Артикул]],Стоимости_товаров_OZON[],50,0),0)</f>
        <v>4728</v>
      </c>
      <c r="L67" s="3">
        <f>VLOOKUP(Обновление_цен[[#This Row],[Артикул]],Стоимости_товаров_OZON[],26,0)</f>
        <v>6500</v>
      </c>
      <c r="M67" s="3">
        <f>VLOOKUP(Обновление_цен[[#This Row],[Артикул]],Стоимости_товаров_OZON[],52,0)</f>
        <v>6510.94</v>
      </c>
      <c r="N67" s="3">
        <f>VLOOKUP(Обновление_цен[[#This Row],[Артикул]],Стоимости_товаров_OZON[],25,0)</f>
        <v>7966</v>
      </c>
      <c r="O67" s="3">
        <f>(Обновление_цен[[#This Row],[Себестоимость]]*4.5)+200</f>
        <v>7966.0715774534001</v>
      </c>
    </row>
    <row r="68" spans="1:15" x14ac:dyDescent="0.3">
      <c r="A68" t="s">
        <v>603</v>
      </c>
      <c r="E68" t="s">
        <v>605</v>
      </c>
      <c r="F68" t="str">
        <f>UPPER(VLOOKUP(Обновление_цен[[#This Row],[Артикул]],Список_товар_API[],19,0))</f>
        <v>ACTUAL</v>
      </c>
      <c r="G6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8" s="28" t="s">
        <v>621</v>
      </c>
      <c r="I68" s="3">
        <f>VLOOKUP(Обновление_цен[[#This Row],[Артикул]],Список_товар_API[],21,0)</f>
        <v>1044.6771093713392</v>
      </c>
      <c r="J68" s="3">
        <f>VLOOKUP(Обновление_цен[[#This Row],[Артикул]],Стоимости_товаров_OZON[],24,0)</f>
        <v>3065</v>
      </c>
      <c r="K68" s="3">
        <f>ROUNDUP(VLOOKUP(Обновление_цен[[#This Row],[Артикул]],Стоимости_товаров_OZON[],50,0),0)</f>
        <v>4390</v>
      </c>
      <c r="L68" s="3">
        <f>VLOOKUP(Обновление_цен[[#This Row],[Артикул]],Стоимости_товаров_OZON[],26,0)</f>
        <v>4346</v>
      </c>
      <c r="M68" s="3">
        <f>VLOOKUP(Обновление_цен[[#This Row],[Артикул]],Стоимости_товаров_OZON[],52,0)</f>
        <v>7601.97</v>
      </c>
      <c r="N68" s="3">
        <f>VLOOKUP(Обновление_цен[[#This Row],[Артикул]],Стоимости_товаров_OZON[],25,0)</f>
        <v>4876</v>
      </c>
      <c r="O68" s="3">
        <f>(Обновление_цен[[#This Row],[Себестоимость]]*4.5)+200</f>
        <v>4901.0469921710264</v>
      </c>
    </row>
    <row r="69" spans="1:15" x14ac:dyDescent="0.3">
      <c r="A69" t="s">
        <v>590</v>
      </c>
      <c r="E69" t="s">
        <v>591</v>
      </c>
      <c r="F69" t="str">
        <f>UPPER(VLOOKUP(Обновление_цен[[#This Row],[Артикул]],Список_товар_API[],19,0))</f>
        <v>ACTUAL</v>
      </c>
      <c r="G6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69" s="28" t="s">
        <v>621</v>
      </c>
      <c r="I69" s="3">
        <f>VLOOKUP(Обновление_цен[[#This Row],[Артикул]],Список_товар_API[],21,0)</f>
        <v>1283.9581660679423</v>
      </c>
      <c r="J69" s="3">
        <f>VLOOKUP(Обновление_цен[[#This Row],[Артикул]],Стоимости_товаров_OZON[],24,0)</f>
        <v>3760</v>
      </c>
      <c r="K69" s="3">
        <f>ROUNDUP(VLOOKUP(Обновление_цен[[#This Row],[Артикул]],Стоимости_товаров_OZON[],50,0),0)</f>
        <v>5313</v>
      </c>
      <c r="L69" s="3">
        <f>VLOOKUP(Обновление_цен[[#This Row],[Артикул]],Стоимости_товаров_OZON[],26,0)</f>
        <v>5330</v>
      </c>
      <c r="M69" s="3">
        <f>VLOOKUP(Обновление_цен[[#This Row],[Артикул]],Стоимости_товаров_OZON[],52,0)</f>
        <v>9102.94</v>
      </c>
      <c r="N69" s="3">
        <f>VLOOKUP(Обновление_цен[[#This Row],[Артикул]],Стоимости_товаров_OZON[],25,0)</f>
        <v>5941</v>
      </c>
      <c r="O69" s="3">
        <f>(Обновление_цен[[#This Row],[Себестоимость]]*4.5)+200</f>
        <v>5977.8117473057409</v>
      </c>
    </row>
    <row r="70" spans="1:15" x14ac:dyDescent="0.3">
      <c r="A70" t="s">
        <v>592</v>
      </c>
      <c r="E70" t="s">
        <v>593</v>
      </c>
      <c r="F70" t="str">
        <f>UPPER(VLOOKUP(Обновление_цен[[#This Row],[Артикул]],Список_товар_API[],19,0))</f>
        <v>ACTUAL</v>
      </c>
      <c r="G7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0" s="28" t="s">
        <v>621</v>
      </c>
      <c r="I70" s="3">
        <f>VLOOKUP(Обновление_цен[[#This Row],[Артикул]],Список_товар_API[],21,0)</f>
        <v>992.55566606794218</v>
      </c>
      <c r="J70" s="3">
        <f>VLOOKUP(Обновление_цен[[#This Row],[Артикул]],Стоимости_товаров_OZON[],24,0)</f>
        <v>2858</v>
      </c>
      <c r="K70" s="3">
        <f>ROUNDUP(VLOOKUP(Обновление_цен[[#This Row],[Артикул]],Стоимости_товаров_OZON[],50,0),0)</f>
        <v>4790</v>
      </c>
      <c r="L70" s="3">
        <f>VLOOKUP(Обновление_цен[[#This Row],[Артикул]],Стоимости_товаров_OZON[],26,0)</f>
        <v>4014</v>
      </c>
      <c r="M70" s="3">
        <f>VLOOKUP(Обновление_цен[[#This Row],[Артикул]],Стоимости_товаров_OZON[],52,0)</f>
        <v>9260.85</v>
      </c>
      <c r="N70" s="3">
        <f>VLOOKUP(Обновление_цен[[#This Row],[Артикул]],Стоимости_товаров_OZON[],25,0)</f>
        <v>4664</v>
      </c>
      <c r="O70" s="3">
        <f>(Обновление_цен[[#This Row],[Себестоимость]]*4.5)+200</f>
        <v>4666.5004973057403</v>
      </c>
    </row>
    <row r="71" spans="1:15" x14ac:dyDescent="0.3">
      <c r="A71" t="s">
        <v>607</v>
      </c>
      <c r="E71" t="s">
        <v>609</v>
      </c>
      <c r="F71" t="str">
        <f>UPPER(VLOOKUP(Обновление_цен[[#This Row],[Артикул]],Список_товар_API[],19,0))</f>
        <v>ARCHIEV</v>
      </c>
      <c r="G7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1" s="28" t="s">
        <v>621</v>
      </c>
      <c r="I71" s="3">
        <f>VLOOKUP(Обновление_цен[[#This Row],[Артикул]],Список_товар_API[],21,0)</f>
        <v>0</v>
      </c>
      <c r="J71" s="3">
        <f>VLOOKUP(Обновление_цен[[#This Row],[Артикул]],Стоимости_товаров_OZON[],24,0)</f>
        <v>0</v>
      </c>
      <c r="K71" s="3">
        <f>ROUNDUP(VLOOKUP(Обновление_цен[[#This Row],[Артикул]],Стоимости_товаров_OZON[],50,0),0)</f>
        <v>0</v>
      </c>
      <c r="L71" s="3">
        <f>VLOOKUP(Обновление_цен[[#This Row],[Артикул]],Стоимости_товаров_OZON[],26,0)</f>
        <v>14500</v>
      </c>
      <c r="M71" s="3">
        <f>VLOOKUP(Обновление_цен[[#This Row],[Артикул]],Стоимости_товаров_OZON[],52,0)</f>
        <v>0</v>
      </c>
      <c r="N71" s="3">
        <f>VLOOKUP(Обновление_цен[[#This Row],[Артикул]],Стоимости_товаров_OZON[],25,0)</f>
        <v>0</v>
      </c>
      <c r="O71" s="3">
        <f>(Обновление_цен[[#This Row],[Себестоимость]]*4.5)+200</f>
        <v>200</v>
      </c>
    </row>
    <row r="72" spans="1:15" x14ac:dyDescent="0.3">
      <c r="A72" t="s">
        <v>177</v>
      </c>
      <c r="E72" t="s">
        <v>601</v>
      </c>
      <c r="F72" t="str">
        <f>UPPER(VLOOKUP(Обновление_цен[[#This Row],[Артикул]],Список_товар_API[],19,0))</f>
        <v>ARCHIEV</v>
      </c>
      <c r="G7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2" s="28" t="s">
        <v>621</v>
      </c>
      <c r="I72" s="3">
        <f>VLOOKUP(Обновление_цен[[#This Row],[Артикул]],Список_товар_API[],21,0)</f>
        <v>1481.0890077844313</v>
      </c>
      <c r="J72" s="3">
        <f>VLOOKUP(Обновление_цен[[#This Row],[Артикул]],Стоимости_товаров_OZON[],24,0)</f>
        <v>1200</v>
      </c>
      <c r="K72" s="3">
        <f>ROUNDUP(VLOOKUP(Обновление_цен[[#This Row],[Артикул]],Стоимости_товаров_OZON[],50,0),0)</f>
        <v>20888</v>
      </c>
      <c r="L72" s="3">
        <f>VLOOKUP(Обновление_цен[[#This Row],[Артикул]],Стоимости_товаров_OZON[],26,0)</f>
        <v>1264</v>
      </c>
      <c r="M72" s="3">
        <f>VLOOKUP(Обновление_цен[[#This Row],[Артикул]],Стоимости_товаров_OZON[],52,0)</f>
        <v>-45952</v>
      </c>
      <c r="N72" s="3">
        <f>VLOOKUP(Обновление_цен[[#This Row],[Артикул]],Стоимости_товаров_OZON[],25,0)</f>
        <v>6462</v>
      </c>
      <c r="O72" s="3">
        <f>(Обновление_цен[[#This Row],[Себестоимость]]*4.5)+200</f>
        <v>6864.9005350299403</v>
      </c>
    </row>
    <row r="73" spans="1:15" x14ac:dyDescent="0.3">
      <c r="A73" t="s">
        <v>256</v>
      </c>
      <c r="E73" t="s">
        <v>258</v>
      </c>
      <c r="F73" t="str">
        <f>UPPER(VLOOKUP(Обновление_цен[[#This Row],[Артикул]],Список_товар_API[],19,0))</f>
        <v>ARCHIEV</v>
      </c>
      <c r="G7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3" s="28" t="s">
        <v>545</v>
      </c>
      <c r="I73" s="3">
        <f>VLOOKUP(Обновление_цен[[#This Row],[Артикул]],Список_товар_API[],21,0)</f>
        <v>0</v>
      </c>
      <c r="J73" s="3">
        <f>VLOOKUP(Обновление_цен[[#This Row],[Артикул]],Стоимости_товаров_OZON[],24,0)</f>
        <v>0</v>
      </c>
      <c r="K73" s="3">
        <f>ROUNDUP(VLOOKUP(Обновление_цен[[#This Row],[Артикул]],Стоимости_товаров_OZON[],50,0),0)</f>
        <v>0</v>
      </c>
      <c r="L73" s="3">
        <f>VLOOKUP(Обновление_цен[[#This Row],[Артикул]],Стоимости_товаров_OZON[],26,0)</f>
        <v>4100</v>
      </c>
      <c r="M73" s="3">
        <f>VLOOKUP(Обновление_цен[[#This Row],[Артикул]],Стоимости_товаров_OZON[],52,0)</f>
        <v>0</v>
      </c>
      <c r="N73" s="3">
        <f>VLOOKUP(Обновление_цен[[#This Row],[Артикул]],Стоимости_товаров_OZON[],25,0)</f>
        <v>0</v>
      </c>
      <c r="O73" s="3">
        <f>(Обновление_цен[[#This Row],[Себестоимость]]*4.5)+200</f>
        <v>200</v>
      </c>
    </row>
    <row r="74" spans="1:15" x14ac:dyDescent="0.3">
      <c r="A74" t="s">
        <v>260</v>
      </c>
      <c r="E74" t="s">
        <v>262</v>
      </c>
      <c r="F74" t="str">
        <f>UPPER(VLOOKUP(Обновление_цен[[#This Row],[Артикул]],Список_товар_API[],19,0))</f>
        <v>ARCHIEV</v>
      </c>
      <c r="G7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4" s="28" t="s">
        <v>545</v>
      </c>
      <c r="I74" s="3">
        <f>VLOOKUP(Обновление_цен[[#This Row],[Артикул]],Список_товар_API[],21,0)</f>
        <v>0</v>
      </c>
      <c r="J74" s="3">
        <f>VLOOKUP(Обновление_цен[[#This Row],[Артикул]],Стоимости_товаров_OZON[],24,0)</f>
        <v>0</v>
      </c>
      <c r="K74" s="3">
        <f>ROUNDUP(VLOOKUP(Обновление_цен[[#This Row],[Артикул]],Стоимости_товаров_OZON[],50,0),0)</f>
        <v>0</v>
      </c>
      <c r="L74" s="3">
        <f>VLOOKUP(Обновление_цен[[#This Row],[Артикул]],Стоимости_товаров_OZON[],26,0)</f>
        <v>4100</v>
      </c>
      <c r="M74" s="3">
        <f>VLOOKUP(Обновление_цен[[#This Row],[Артикул]],Стоимости_товаров_OZON[],52,0)</f>
        <v>0</v>
      </c>
      <c r="N74" s="3">
        <f>VLOOKUP(Обновление_цен[[#This Row],[Артикул]],Стоимости_товаров_OZON[],25,0)</f>
        <v>0</v>
      </c>
      <c r="O74" s="3">
        <f>(Обновление_цен[[#This Row],[Себестоимость]]*4.5)+200</f>
        <v>200</v>
      </c>
    </row>
    <row r="75" spans="1:15" x14ac:dyDescent="0.3">
      <c r="A75" t="s">
        <v>264</v>
      </c>
      <c r="E75" t="s">
        <v>39</v>
      </c>
      <c r="F75" t="str">
        <f>UPPER(VLOOKUP(Обновление_цен[[#This Row],[Артикул]],Список_товар_API[],19,0))</f>
        <v>ARCHIEV</v>
      </c>
      <c r="G7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5" s="28" t="s">
        <v>545</v>
      </c>
      <c r="I75" s="3">
        <f>VLOOKUP(Обновление_цен[[#This Row],[Артикул]],Список_товар_API[],21,0)</f>
        <v>2373.822286922757</v>
      </c>
      <c r="J75" s="3">
        <f>VLOOKUP(Обновление_цен[[#This Row],[Артикул]],Стоимости_товаров_OZON[],24,0)</f>
        <v>0</v>
      </c>
      <c r="K75" s="3">
        <f>ROUNDUP(VLOOKUP(Обновление_цен[[#This Row],[Артикул]],Стоимости_товаров_OZON[],50,0),0)</f>
        <v>0</v>
      </c>
      <c r="L75" s="3">
        <f>VLOOKUP(Обновление_цен[[#This Row],[Артикул]],Стоимости_товаров_OZON[],26,0)</f>
        <v>5100</v>
      </c>
      <c r="M75" s="3">
        <f>VLOOKUP(Обновление_цен[[#This Row],[Артикул]],Стоимости_товаров_OZON[],52,0)</f>
        <v>0</v>
      </c>
      <c r="N75" s="3">
        <f>VLOOKUP(Обновление_цен[[#This Row],[Артикул]],Стоимости_товаров_OZON[],25,0)</f>
        <v>0</v>
      </c>
      <c r="O75" s="3">
        <f>(Обновление_цен[[#This Row],[Себестоимость]]*4.5)+200</f>
        <v>10882.200291152407</v>
      </c>
    </row>
    <row r="76" spans="1:15" x14ac:dyDescent="0.3">
      <c r="A76" t="s">
        <v>266</v>
      </c>
      <c r="E76" t="s">
        <v>268</v>
      </c>
      <c r="F76" t="str">
        <f>UPPER(VLOOKUP(Обновление_цен[[#This Row],[Артикул]],Список_товар_API[],19,0))</f>
        <v>ARCHIEV</v>
      </c>
      <c r="G7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6" s="28" t="s">
        <v>545</v>
      </c>
      <c r="I76" s="3">
        <f>VLOOKUP(Обновление_цен[[#This Row],[Артикул]],Список_товар_API[],21,0)</f>
        <v>0</v>
      </c>
      <c r="J76" s="3">
        <f>VLOOKUP(Обновление_цен[[#This Row],[Артикул]],Стоимости_товаров_OZON[],24,0)</f>
        <v>0</v>
      </c>
      <c r="K76" s="3">
        <f>ROUNDUP(VLOOKUP(Обновление_цен[[#This Row],[Артикул]],Стоимости_товаров_OZON[],50,0),0)</f>
        <v>0</v>
      </c>
      <c r="L76" s="3">
        <f>VLOOKUP(Обновление_цен[[#This Row],[Артикул]],Стоимости_товаров_OZON[],26,0)</f>
        <v>4100</v>
      </c>
      <c r="M76" s="3">
        <f>VLOOKUP(Обновление_цен[[#This Row],[Артикул]],Стоимости_товаров_OZON[],52,0)</f>
        <v>0</v>
      </c>
      <c r="N76" s="3">
        <f>VLOOKUP(Обновление_цен[[#This Row],[Артикул]],Стоимости_товаров_OZON[],25,0)</f>
        <v>0</v>
      </c>
      <c r="O76" s="3">
        <f>(Обновление_цен[[#This Row],[Себестоимость]]*4.5)+200</f>
        <v>200</v>
      </c>
    </row>
    <row r="77" spans="1:15" x14ac:dyDescent="0.3">
      <c r="A77" t="s">
        <v>270</v>
      </c>
      <c r="E77" t="s">
        <v>262</v>
      </c>
      <c r="F77" t="str">
        <f>UPPER(VLOOKUP(Обновление_цен[[#This Row],[Артикул]],Список_товар_API[],19,0))</f>
        <v>ARCHIEV</v>
      </c>
      <c r="G7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7" s="28" t="s">
        <v>545</v>
      </c>
      <c r="I77" s="3">
        <f>VLOOKUP(Обновление_цен[[#This Row],[Артикул]],Список_товар_API[],21,0)</f>
        <v>0</v>
      </c>
      <c r="J77" s="3">
        <f>VLOOKUP(Обновление_цен[[#This Row],[Артикул]],Стоимости_товаров_OZON[],24,0)</f>
        <v>0</v>
      </c>
      <c r="K77" s="3">
        <f>ROUNDUP(VLOOKUP(Обновление_цен[[#This Row],[Артикул]],Стоимости_товаров_OZON[],50,0),0)</f>
        <v>0</v>
      </c>
      <c r="L77" s="3">
        <f>VLOOKUP(Обновление_цен[[#This Row],[Артикул]],Стоимости_товаров_OZON[],26,0)</f>
        <v>4100</v>
      </c>
      <c r="M77" s="3">
        <f>VLOOKUP(Обновление_цен[[#This Row],[Артикул]],Стоимости_товаров_OZON[],52,0)</f>
        <v>0</v>
      </c>
      <c r="N77" s="3">
        <f>VLOOKUP(Обновление_цен[[#This Row],[Артикул]],Стоимости_товаров_OZON[],25,0)</f>
        <v>0</v>
      </c>
      <c r="O77" s="3">
        <f>(Обновление_цен[[#This Row],[Себестоимость]]*4.5)+200</f>
        <v>200</v>
      </c>
    </row>
    <row r="78" spans="1:15" x14ac:dyDescent="0.3">
      <c r="A78" t="s">
        <v>254</v>
      </c>
      <c r="E78" t="s">
        <v>274</v>
      </c>
      <c r="F78" t="str">
        <f>UPPER(VLOOKUP(Обновление_цен[[#This Row],[Артикул]],Список_товар_API[],19,0))</f>
        <v>ARCHIEV</v>
      </c>
      <c r="G7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8" s="28" t="s">
        <v>545</v>
      </c>
      <c r="I78" s="3">
        <f>VLOOKUP(Обновление_цен[[#This Row],[Артикул]],Список_товар_API[],21,0)</f>
        <v>1648.9442067259704</v>
      </c>
      <c r="J78" s="3">
        <f>VLOOKUP(Обновление_цен[[#This Row],[Артикул]],Стоимости_товаров_OZON[],24,0)</f>
        <v>0</v>
      </c>
      <c r="K78" s="3">
        <f>ROUNDUP(VLOOKUP(Обновление_цен[[#This Row],[Артикул]],Стоимости_товаров_OZON[],50,0),0)</f>
        <v>0</v>
      </c>
      <c r="L78" s="3">
        <f>VLOOKUP(Обновление_цен[[#This Row],[Артикул]],Стоимости_товаров_OZON[],26,0)</f>
        <v>4100</v>
      </c>
      <c r="M78" s="3">
        <f>VLOOKUP(Обновление_цен[[#This Row],[Артикул]],Стоимости_товаров_OZON[],52,0)</f>
        <v>0</v>
      </c>
      <c r="N78" s="3">
        <f>VLOOKUP(Обновление_цен[[#This Row],[Артикул]],Стоимости_товаров_OZON[],25,0)</f>
        <v>0</v>
      </c>
      <c r="O78" s="3">
        <f>(Обновление_цен[[#This Row],[Себестоимость]]*4.5)+200</f>
        <v>7620.2489302668664</v>
      </c>
    </row>
    <row r="79" spans="1:15" x14ac:dyDescent="0.3">
      <c r="A79" t="s">
        <v>276</v>
      </c>
      <c r="E79" t="s">
        <v>278</v>
      </c>
      <c r="F79" t="str">
        <f>UPPER(VLOOKUP(Обновление_цен[[#This Row],[Артикул]],Список_товар_API[],19,0))</f>
        <v>ARCHIEV</v>
      </c>
      <c r="G7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79" s="28" t="s">
        <v>545</v>
      </c>
      <c r="I79" s="3">
        <f>VLOOKUP(Обновление_цен[[#This Row],[Артикул]],Список_товар_API[],21,0)</f>
        <v>0</v>
      </c>
      <c r="J79" s="3">
        <f>VLOOKUP(Обновление_цен[[#This Row],[Артикул]],Стоимости_товаров_OZON[],24,0)</f>
        <v>700</v>
      </c>
      <c r="K79" s="3">
        <f>ROUNDUP(VLOOKUP(Обновление_цен[[#This Row],[Артикул]],Стоимости_товаров_OZON[],50,0),0)</f>
        <v>0</v>
      </c>
      <c r="L79" s="3">
        <f>VLOOKUP(Обновление_цен[[#This Row],[Артикул]],Стоимости_товаров_OZON[],26,0)</f>
        <v>750</v>
      </c>
      <c r="M79" s="3">
        <f>VLOOKUP(Обновление_цен[[#This Row],[Артикул]],Стоимости_товаров_OZON[],52,0)</f>
        <v>0</v>
      </c>
      <c r="N79" s="3">
        <f>VLOOKUP(Обновление_цен[[#This Row],[Артикул]],Стоимости_товаров_OZON[],25,0)</f>
        <v>0</v>
      </c>
      <c r="O79" s="3">
        <f>(Обновление_цен[[#This Row],[Себестоимость]]*4.5)+200</f>
        <v>200</v>
      </c>
    </row>
    <row r="80" spans="1:15" x14ac:dyDescent="0.3">
      <c r="A80" t="s">
        <v>133</v>
      </c>
      <c r="E80" t="s">
        <v>37</v>
      </c>
      <c r="F80" t="str">
        <f>UPPER(VLOOKUP(Обновление_цен[[#This Row],[Артикул]],Список_товар_API[],19,0))</f>
        <v>ARCHIEV</v>
      </c>
      <c r="G8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0" s="28" t="s">
        <v>545</v>
      </c>
      <c r="I80" s="3">
        <f>VLOOKUP(Обновление_цен[[#This Row],[Артикул]],Список_товар_API[],21,0)</f>
        <v>2373.822286922757</v>
      </c>
      <c r="J80" s="3">
        <f>VLOOKUP(Обновление_цен[[#This Row],[Артикул]],Стоимости_товаров_OZON[],24,0)</f>
        <v>1000</v>
      </c>
      <c r="K80" s="3">
        <f>ROUNDUP(VLOOKUP(Обновление_цен[[#This Row],[Артикул]],Стоимости_товаров_OZON[],50,0),0)</f>
        <v>0</v>
      </c>
      <c r="L80" s="3">
        <f>VLOOKUP(Обновление_цен[[#This Row],[Артикул]],Стоимости_товаров_OZON[],26,0)</f>
        <v>1000</v>
      </c>
      <c r="M80" s="3">
        <f>VLOOKUP(Обновление_цен[[#This Row],[Артикул]],Стоимости_товаров_OZON[],52,0)</f>
        <v>0</v>
      </c>
      <c r="N80" s="3">
        <f>VLOOKUP(Обновление_цен[[#This Row],[Артикул]],Стоимости_товаров_OZON[],25,0)</f>
        <v>0</v>
      </c>
      <c r="O80" s="3">
        <f>(Обновление_цен[[#This Row],[Себестоимость]]*4.5)+200</f>
        <v>10882.200291152407</v>
      </c>
    </row>
    <row r="81" spans="1:15" x14ac:dyDescent="0.3">
      <c r="A81" t="s">
        <v>280</v>
      </c>
      <c r="E81" t="s">
        <v>41</v>
      </c>
      <c r="F81" t="str">
        <f>UPPER(VLOOKUP(Обновление_цен[[#This Row],[Артикул]],Список_товар_API[],19,0))</f>
        <v>ARCHIEV</v>
      </c>
      <c r="G8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1" s="28" t="s">
        <v>545</v>
      </c>
      <c r="I81" s="3">
        <f>VLOOKUP(Обновление_цен[[#This Row],[Артикул]],Список_товар_API[],21,0)</f>
        <v>1735.3644968306639</v>
      </c>
      <c r="J81" s="3">
        <f>VLOOKUP(Обновление_цен[[#This Row],[Артикул]],Стоимости_товаров_OZON[],24,0)</f>
        <v>0</v>
      </c>
      <c r="K81" s="3">
        <f>ROUNDUP(VLOOKUP(Обновление_цен[[#This Row],[Артикул]],Стоимости_товаров_OZON[],50,0),0)</f>
        <v>0</v>
      </c>
      <c r="L81" s="3">
        <f>VLOOKUP(Обновление_цен[[#This Row],[Артикул]],Стоимости_товаров_OZON[],26,0)</f>
        <v>4100</v>
      </c>
      <c r="M81" s="3">
        <f>VLOOKUP(Обновление_цен[[#This Row],[Артикул]],Стоимости_товаров_OZON[],52,0)</f>
        <v>0</v>
      </c>
      <c r="N81" s="3">
        <f>VLOOKUP(Обновление_цен[[#This Row],[Артикул]],Стоимости_товаров_OZON[],25,0)</f>
        <v>0</v>
      </c>
      <c r="O81" s="3">
        <f>(Обновление_цен[[#This Row],[Себестоимость]]*4.5)+200</f>
        <v>8009.1402357379875</v>
      </c>
    </row>
    <row r="82" spans="1:15" x14ac:dyDescent="0.3">
      <c r="A82" t="s">
        <v>282</v>
      </c>
      <c r="E82" t="s">
        <v>262</v>
      </c>
      <c r="F82" t="str">
        <f>UPPER(VLOOKUP(Обновление_цен[[#This Row],[Артикул]],Список_товар_API[],19,0))</f>
        <v>ARCHIEV</v>
      </c>
      <c r="G8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2" s="28" t="s">
        <v>545</v>
      </c>
      <c r="I82" s="3">
        <f>VLOOKUP(Обновление_цен[[#This Row],[Артикул]],Список_товар_API[],21,0)</f>
        <v>0</v>
      </c>
      <c r="J82" s="3">
        <f>VLOOKUP(Обновление_цен[[#This Row],[Артикул]],Стоимости_товаров_OZON[],24,0)</f>
        <v>0</v>
      </c>
      <c r="K82" s="3">
        <f>ROUNDUP(VLOOKUP(Обновление_цен[[#This Row],[Артикул]],Стоимости_товаров_OZON[],50,0),0)</f>
        <v>0</v>
      </c>
      <c r="L82" s="3">
        <f>VLOOKUP(Обновление_цен[[#This Row],[Артикул]],Стоимости_товаров_OZON[],26,0)</f>
        <v>4100</v>
      </c>
      <c r="M82" s="3">
        <f>VLOOKUP(Обновление_цен[[#This Row],[Артикул]],Стоимости_товаров_OZON[],52,0)</f>
        <v>0</v>
      </c>
      <c r="N82" s="3">
        <f>VLOOKUP(Обновление_цен[[#This Row],[Артикул]],Стоимости_товаров_OZON[],25,0)</f>
        <v>0</v>
      </c>
      <c r="O82" s="3">
        <f>(Обновление_цен[[#This Row],[Себестоимость]]*4.5)+200</f>
        <v>200</v>
      </c>
    </row>
    <row r="83" spans="1:15" x14ac:dyDescent="0.3">
      <c r="A83" t="s">
        <v>285</v>
      </c>
      <c r="E83" t="s">
        <v>43</v>
      </c>
      <c r="F83" t="str">
        <f>UPPER(VLOOKUP(Обновление_цен[[#This Row],[Артикул]],Список_товар_API[],19,0))</f>
        <v>ARCHIEV</v>
      </c>
      <c r="G8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3" s="28" t="s">
        <v>545</v>
      </c>
      <c r="I83" s="3">
        <f>VLOOKUP(Обновление_цен[[#This Row],[Артикул]],Список_товар_API[],21,0)</f>
        <v>2373.822286922757</v>
      </c>
      <c r="J83" s="3">
        <f>VLOOKUP(Обновление_цен[[#This Row],[Артикул]],Стоимости_товаров_OZON[],24,0)</f>
        <v>0</v>
      </c>
      <c r="K83" s="3">
        <f>ROUNDUP(VLOOKUP(Обновление_цен[[#This Row],[Артикул]],Стоимости_товаров_OZON[],50,0),0)</f>
        <v>0</v>
      </c>
      <c r="L83" s="3">
        <f>VLOOKUP(Обновление_цен[[#This Row],[Артикул]],Стоимости_товаров_OZON[],26,0)</f>
        <v>4650</v>
      </c>
      <c r="M83" s="3">
        <f>VLOOKUP(Обновление_цен[[#This Row],[Артикул]],Стоимости_товаров_OZON[],52,0)</f>
        <v>0</v>
      </c>
      <c r="N83" s="3">
        <f>VLOOKUP(Обновление_цен[[#This Row],[Артикул]],Стоимости_товаров_OZON[],25,0)</f>
        <v>0</v>
      </c>
      <c r="O83" s="3">
        <f>(Обновление_цен[[#This Row],[Себестоимость]]*4.5)+200</f>
        <v>10882.200291152407</v>
      </c>
    </row>
    <row r="84" spans="1:15" x14ac:dyDescent="0.3">
      <c r="A84" t="s">
        <v>287</v>
      </c>
      <c r="E84" t="s">
        <v>289</v>
      </c>
      <c r="F84" t="str">
        <f>UPPER(VLOOKUP(Обновление_цен[[#This Row],[Артикул]],Список_товар_API[],19,0))</f>
        <v>ARCHIEV</v>
      </c>
      <c r="G8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4" s="28" t="s">
        <v>545</v>
      </c>
      <c r="I84" s="3">
        <f>VLOOKUP(Обновление_цен[[#This Row],[Артикул]],Список_товар_API[],21,0)</f>
        <v>0</v>
      </c>
      <c r="J84" s="3">
        <f>VLOOKUP(Обновление_цен[[#This Row],[Артикул]],Стоимости_товаров_OZON[],24,0)</f>
        <v>700</v>
      </c>
      <c r="K84" s="3">
        <f>ROUNDUP(VLOOKUP(Обновление_цен[[#This Row],[Артикул]],Стоимости_товаров_OZON[],50,0),0)</f>
        <v>0</v>
      </c>
      <c r="L84" s="3">
        <f>VLOOKUP(Обновление_цен[[#This Row],[Артикул]],Стоимости_товаров_OZON[],26,0)</f>
        <v>750</v>
      </c>
      <c r="M84" s="3">
        <f>VLOOKUP(Обновление_цен[[#This Row],[Артикул]],Стоимости_товаров_OZON[],52,0)</f>
        <v>0</v>
      </c>
      <c r="N84" s="3">
        <f>VLOOKUP(Обновление_цен[[#This Row],[Артикул]],Стоимости_товаров_OZON[],25,0)</f>
        <v>0</v>
      </c>
      <c r="O84" s="3">
        <f>(Обновление_цен[[#This Row],[Себестоимость]]*4.5)+200</f>
        <v>200</v>
      </c>
    </row>
    <row r="85" spans="1:15" x14ac:dyDescent="0.3">
      <c r="A85" t="s">
        <v>291</v>
      </c>
      <c r="E85" t="s">
        <v>48</v>
      </c>
      <c r="F85" t="str">
        <f>UPPER(VLOOKUP(Обновление_цен[[#This Row],[Артикул]],Список_товар_API[],19,0))</f>
        <v>ARCHIEV</v>
      </c>
      <c r="G8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5" s="28" t="s">
        <v>545</v>
      </c>
      <c r="I85" s="3">
        <f>VLOOKUP(Обновление_цен[[#This Row],[Артикул]],Список_товар_API[],21,0)</f>
        <v>2373.822286922757</v>
      </c>
      <c r="J85" s="3">
        <f>VLOOKUP(Обновление_цен[[#This Row],[Артикул]],Стоимости_товаров_OZON[],24,0)</f>
        <v>0</v>
      </c>
      <c r="K85" s="3">
        <f>ROUNDUP(VLOOKUP(Обновление_цен[[#This Row],[Артикул]],Стоимости_товаров_OZON[],50,0),0)</f>
        <v>0</v>
      </c>
      <c r="L85" s="3">
        <f>VLOOKUP(Обновление_цен[[#This Row],[Артикул]],Стоимости_товаров_OZON[],26,0)</f>
        <v>5100</v>
      </c>
      <c r="M85" s="3">
        <f>VLOOKUP(Обновление_цен[[#This Row],[Артикул]],Стоимости_товаров_OZON[],52,0)</f>
        <v>0</v>
      </c>
      <c r="N85" s="3">
        <f>VLOOKUP(Обновление_цен[[#This Row],[Артикул]],Стоимости_товаров_OZON[],25,0)</f>
        <v>0</v>
      </c>
      <c r="O85" s="3">
        <f>(Обновление_цен[[#This Row],[Себестоимость]]*4.5)+200</f>
        <v>10882.200291152407</v>
      </c>
    </row>
    <row r="86" spans="1:15" x14ac:dyDescent="0.3">
      <c r="A86" t="s">
        <v>293</v>
      </c>
      <c r="E86" t="s">
        <v>46</v>
      </c>
      <c r="F86" t="str">
        <f>UPPER(VLOOKUP(Обновление_цен[[#This Row],[Артикул]],Список_товар_API[],19,0))</f>
        <v>ARCHIEV</v>
      </c>
      <c r="G8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6" s="28" t="s">
        <v>545</v>
      </c>
      <c r="I86" s="3">
        <f>VLOOKUP(Обновление_цен[[#This Row],[Артикул]],Список_товар_API[],21,0)</f>
        <v>2373.822286922757</v>
      </c>
      <c r="J86" s="3">
        <f>VLOOKUP(Обновление_цен[[#This Row],[Артикул]],Стоимости_товаров_OZON[],24,0)</f>
        <v>0</v>
      </c>
      <c r="K86" s="3">
        <f>ROUNDUP(VLOOKUP(Обновление_цен[[#This Row],[Артикул]],Стоимости_товаров_OZON[],50,0),0)</f>
        <v>0</v>
      </c>
      <c r="L86" s="3">
        <f>VLOOKUP(Обновление_цен[[#This Row],[Артикул]],Стоимости_товаров_OZON[],26,0)</f>
        <v>5100</v>
      </c>
      <c r="M86" s="3">
        <f>VLOOKUP(Обновление_цен[[#This Row],[Артикул]],Стоимости_товаров_OZON[],52,0)</f>
        <v>0</v>
      </c>
      <c r="N86" s="3">
        <f>VLOOKUP(Обновление_цен[[#This Row],[Артикул]],Стоимости_товаров_OZON[],25,0)</f>
        <v>0</v>
      </c>
      <c r="O86" s="3">
        <f>(Обновление_цен[[#This Row],[Себестоимость]]*4.5)+200</f>
        <v>10882.200291152407</v>
      </c>
    </row>
    <row r="87" spans="1:15" x14ac:dyDescent="0.3">
      <c r="A87" t="s">
        <v>255</v>
      </c>
      <c r="E87" t="s">
        <v>43</v>
      </c>
      <c r="F87" t="str">
        <f>UPPER(VLOOKUP(Обновление_цен[[#This Row],[Артикул]],Список_товар_API[],19,0))</f>
        <v>ARCHIEV</v>
      </c>
      <c r="G8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7" s="28" t="s">
        <v>545</v>
      </c>
      <c r="I87" s="3">
        <f>VLOOKUP(Обновление_цен[[#This Row],[Артикул]],Список_товар_API[],21,0)</f>
        <v>2373.822286922757</v>
      </c>
      <c r="J87" s="3">
        <f>VLOOKUP(Обновление_цен[[#This Row],[Артикул]],Стоимости_товаров_OZON[],24,0)</f>
        <v>0</v>
      </c>
      <c r="K87" s="3">
        <f>ROUNDUP(VLOOKUP(Обновление_цен[[#This Row],[Артикул]],Стоимости_товаров_OZON[],50,0),0)</f>
        <v>0</v>
      </c>
      <c r="L87" s="3">
        <f>VLOOKUP(Обновление_цен[[#This Row],[Артикул]],Стоимости_товаров_OZON[],26,0)</f>
        <v>4800</v>
      </c>
      <c r="M87" s="3">
        <f>VLOOKUP(Обновление_цен[[#This Row],[Артикул]],Стоимости_товаров_OZON[],52,0)</f>
        <v>0</v>
      </c>
      <c r="N87" s="3">
        <f>VLOOKUP(Обновление_цен[[#This Row],[Артикул]],Стоимости_товаров_OZON[],25,0)</f>
        <v>0</v>
      </c>
      <c r="O87" s="3">
        <f>(Обновление_цен[[#This Row],[Себестоимость]]*4.5)+200</f>
        <v>10882.200291152407</v>
      </c>
    </row>
    <row r="88" spans="1:15" x14ac:dyDescent="0.3">
      <c r="A88" t="s">
        <v>296</v>
      </c>
      <c r="E88" t="s">
        <v>298</v>
      </c>
      <c r="F88" t="str">
        <f>UPPER(VLOOKUP(Обновление_цен[[#This Row],[Артикул]],Список_товар_API[],19,0))</f>
        <v>ARCHIEV</v>
      </c>
      <c r="G8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ENABLED</v>
      </c>
      <c r="H88" s="28" t="s">
        <v>545</v>
      </c>
      <c r="I88" s="3">
        <f>VLOOKUP(Обновление_цен[[#This Row],[Артикул]],Список_товар_API[],21,0)</f>
        <v>0</v>
      </c>
      <c r="J88" s="3">
        <f>VLOOKUP(Обновление_цен[[#This Row],[Артикул]],Стоимости_товаров_OZON[],24,0)</f>
        <v>3000</v>
      </c>
      <c r="K88" s="3">
        <f>ROUNDUP(VLOOKUP(Обновление_цен[[#This Row],[Артикул]],Стоимости_товаров_OZON[],50,0),0)</f>
        <v>0</v>
      </c>
      <c r="L88" s="3">
        <f>VLOOKUP(Обновление_цен[[#This Row],[Артикул]],Стоимости_товаров_OZON[],26,0)</f>
        <v>3100</v>
      </c>
      <c r="M88" s="3">
        <f>VLOOKUP(Обновление_цен[[#This Row],[Артикул]],Стоимости_товаров_OZON[],52,0)</f>
        <v>0</v>
      </c>
      <c r="N88" s="3">
        <f>VLOOKUP(Обновление_цен[[#This Row],[Артикул]],Стоимости_товаров_OZON[],25,0)</f>
        <v>10000</v>
      </c>
      <c r="O88" s="3">
        <f>(Обновление_цен[[#This Row],[Себестоимость]]*4.5)+200</f>
        <v>200</v>
      </c>
    </row>
    <row r="89" spans="1:15" x14ac:dyDescent="0.3">
      <c r="A89" t="s">
        <v>300</v>
      </c>
      <c r="E89" t="s">
        <v>302</v>
      </c>
      <c r="F89" t="str">
        <f>UPPER(VLOOKUP(Обновление_цен[[#This Row],[Артикул]],Список_товар_API[],19,0))</f>
        <v>ARCHIEV</v>
      </c>
      <c r="G8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89" s="28" t="s">
        <v>545</v>
      </c>
      <c r="I89" s="3">
        <f>VLOOKUP(Обновление_цен[[#This Row],[Артикул]],Список_товар_API[],21,0)</f>
        <v>0</v>
      </c>
      <c r="J89" s="3">
        <f>VLOOKUP(Обновление_цен[[#This Row],[Артикул]],Стоимости_товаров_OZON[],24,0)</f>
        <v>0</v>
      </c>
      <c r="K89" s="3">
        <f>ROUNDUP(VLOOKUP(Обновление_цен[[#This Row],[Артикул]],Стоимости_товаров_OZON[],50,0),0)</f>
        <v>0</v>
      </c>
      <c r="L89" s="3">
        <f>VLOOKUP(Обновление_цен[[#This Row],[Артикул]],Стоимости_товаров_OZON[],26,0)</f>
        <v>350</v>
      </c>
      <c r="M89" s="3">
        <f>VLOOKUP(Обновление_цен[[#This Row],[Артикул]],Стоимости_товаров_OZON[],52,0)</f>
        <v>0</v>
      </c>
      <c r="N89" s="3">
        <f>VLOOKUP(Обновление_цен[[#This Row],[Артикул]],Стоимости_товаров_OZON[],25,0)</f>
        <v>750</v>
      </c>
      <c r="O89" s="3">
        <f>(Обновление_цен[[#This Row],[Себестоимость]]*4.5)+200</f>
        <v>200</v>
      </c>
    </row>
    <row r="90" spans="1:15" x14ac:dyDescent="0.3">
      <c r="A90" t="s">
        <v>304</v>
      </c>
      <c r="E90" t="s">
        <v>54</v>
      </c>
      <c r="F90" t="str">
        <f>UPPER(VLOOKUP(Обновление_цен[[#This Row],[Артикул]],Список_товар_API[],19,0))</f>
        <v>ARCHIEV</v>
      </c>
      <c r="G9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0" s="28" t="s">
        <v>545</v>
      </c>
      <c r="I90" s="3">
        <f>VLOOKUP(Обновление_цен[[#This Row],[Артикул]],Список_товар_API[],21,0)</f>
        <v>0</v>
      </c>
      <c r="J90" s="3">
        <f>VLOOKUP(Обновление_цен[[#This Row],[Артикул]],Стоимости_товаров_OZON[],24,0)</f>
        <v>1500</v>
      </c>
      <c r="K90" s="3">
        <f>ROUNDUP(VLOOKUP(Обновление_цен[[#This Row],[Артикул]],Стоимости_товаров_OZON[],50,0),0)</f>
        <v>0</v>
      </c>
      <c r="L90" s="3">
        <f>VLOOKUP(Обновление_цен[[#This Row],[Артикул]],Стоимости_товаров_OZON[],26,0)</f>
        <v>1500</v>
      </c>
      <c r="M90" s="3">
        <f>VLOOKUP(Обновление_цен[[#This Row],[Артикул]],Стоимости_товаров_OZON[],52,0)</f>
        <v>0</v>
      </c>
      <c r="N90" s="3">
        <f>VLOOKUP(Обновление_цен[[#This Row],[Артикул]],Стоимости_товаров_OZON[],25,0)</f>
        <v>4300</v>
      </c>
      <c r="O90" s="3">
        <f>(Обновление_цен[[#This Row],[Себестоимость]]*4.5)+200</f>
        <v>200</v>
      </c>
    </row>
    <row r="91" spans="1:15" x14ac:dyDescent="0.3">
      <c r="A91" t="s">
        <v>306</v>
      </c>
      <c r="E91" t="s">
        <v>308</v>
      </c>
      <c r="F91" t="str">
        <f>UPPER(VLOOKUP(Обновление_цен[[#This Row],[Артикул]],Список_товар_API[],19,0))</f>
        <v>ARCHIEV</v>
      </c>
      <c r="G9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1" s="28" t="s">
        <v>545</v>
      </c>
      <c r="I91" s="3">
        <f>VLOOKUP(Обновление_цен[[#This Row],[Артикул]],Список_товар_API[],21,0)</f>
        <v>0</v>
      </c>
      <c r="J91" s="3">
        <f>VLOOKUP(Обновление_цен[[#This Row],[Артикул]],Стоимости_товаров_OZON[],24,0)</f>
        <v>245</v>
      </c>
      <c r="K91" s="3">
        <f>ROUNDUP(VLOOKUP(Обновление_цен[[#This Row],[Артикул]],Стоимости_товаров_OZON[],50,0),0)</f>
        <v>0</v>
      </c>
      <c r="L91" s="3">
        <f>VLOOKUP(Обновление_цен[[#This Row],[Артикул]],Стоимости_товаров_OZON[],26,0)</f>
        <v>245</v>
      </c>
      <c r="M91" s="3">
        <f>VLOOKUP(Обновление_цен[[#This Row],[Артикул]],Стоимости_товаров_OZON[],52,0)</f>
        <v>0</v>
      </c>
      <c r="N91" s="3">
        <f>VLOOKUP(Обновление_цен[[#This Row],[Артикул]],Стоимости_товаров_OZON[],25,0)</f>
        <v>350</v>
      </c>
      <c r="O91" s="3">
        <f>(Обновление_цен[[#This Row],[Себестоимость]]*4.5)+200</f>
        <v>200</v>
      </c>
    </row>
    <row r="92" spans="1:15" x14ac:dyDescent="0.3">
      <c r="A92" t="s">
        <v>309</v>
      </c>
      <c r="E92" t="s">
        <v>311</v>
      </c>
      <c r="F92" t="str">
        <f>UPPER(VLOOKUP(Обновление_цен[[#This Row],[Артикул]],Список_товар_API[],19,0))</f>
        <v>ARCHIEV</v>
      </c>
      <c r="G9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2" s="28" t="s">
        <v>545</v>
      </c>
      <c r="I92" s="3">
        <f>VLOOKUP(Обновление_цен[[#This Row],[Артикул]],Список_товар_API[],21,0)</f>
        <v>0</v>
      </c>
      <c r="J92" s="3">
        <f>VLOOKUP(Обновление_цен[[#This Row],[Артикул]],Стоимости_товаров_OZON[],24,0)</f>
        <v>0</v>
      </c>
      <c r="K92" s="3">
        <f>ROUNDUP(VLOOKUP(Обновление_цен[[#This Row],[Артикул]],Стоимости_товаров_OZON[],50,0),0)</f>
        <v>0</v>
      </c>
      <c r="L92" s="3">
        <f>VLOOKUP(Обновление_цен[[#This Row],[Артикул]],Стоимости_товаров_OZON[],26,0)</f>
        <v>4100</v>
      </c>
      <c r="M92" s="3">
        <f>VLOOKUP(Обновление_цен[[#This Row],[Артикул]],Стоимости_товаров_OZON[],52,0)</f>
        <v>0</v>
      </c>
      <c r="N92" s="3">
        <f>VLOOKUP(Обновление_цен[[#This Row],[Артикул]],Стоимости_товаров_OZON[],25,0)</f>
        <v>0</v>
      </c>
      <c r="O92" s="3">
        <f>(Обновление_цен[[#This Row],[Себестоимость]]*4.5)+200</f>
        <v>200</v>
      </c>
    </row>
    <row r="93" spans="1:15" x14ac:dyDescent="0.3">
      <c r="A93" t="s">
        <v>313</v>
      </c>
      <c r="E93" t="s">
        <v>315</v>
      </c>
      <c r="F93" t="str">
        <f>UPPER(VLOOKUP(Обновление_цен[[#This Row],[Артикул]],Список_товар_API[],19,0))</f>
        <v>ARCHIEV</v>
      </c>
      <c r="G9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3" s="28" t="s">
        <v>545</v>
      </c>
      <c r="I93" s="3">
        <f>VLOOKUP(Обновление_цен[[#This Row],[Артикул]],Список_товар_API[],21,0)</f>
        <v>0</v>
      </c>
      <c r="J93" s="3">
        <f>VLOOKUP(Обновление_цен[[#This Row],[Артикул]],Стоимости_товаров_OZON[],24,0)</f>
        <v>0</v>
      </c>
      <c r="K93" s="3">
        <f>ROUNDUP(VLOOKUP(Обновление_цен[[#This Row],[Артикул]],Стоимости_товаров_OZON[],50,0),0)</f>
        <v>0</v>
      </c>
      <c r="L93" s="3">
        <f>VLOOKUP(Обновление_цен[[#This Row],[Артикул]],Стоимости_товаров_OZON[],26,0)</f>
        <v>4100</v>
      </c>
      <c r="M93" s="3">
        <f>VLOOKUP(Обновление_цен[[#This Row],[Артикул]],Стоимости_товаров_OZON[],52,0)</f>
        <v>0</v>
      </c>
      <c r="N93" s="3">
        <f>VLOOKUP(Обновление_цен[[#This Row],[Артикул]],Стоимости_товаров_OZON[],25,0)</f>
        <v>0</v>
      </c>
      <c r="O93" s="3">
        <f>(Обновление_цен[[#This Row],[Себестоимость]]*4.5)+200</f>
        <v>200</v>
      </c>
    </row>
    <row r="94" spans="1:15" x14ac:dyDescent="0.3">
      <c r="A94" t="s">
        <v>317</v>
      </c>
      <c r="E94" t="s">
        <v>319</v>
      </c>
      <c r="F94" t="str">
        <f>UPPER(VLOOKUP(Обновление_цен[[#This Row],[Артикул]],Список_товар_API[],19,0))</f>
        <v>ARCHIEV</v>
      </c>
      <c r="G9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4" s="28" t="s">
        <v>545</v>
      </c>
      <c r="I94" s="3">
        <f>VLOOKUP(Обновление_цен[[#This Row],[Артикул]],Список_товар_API[],21,0)</f>
        <v>0</v>
      </c>
      <c r="J94" s="3">
        <f>VLOOKUP(Обновление_цен[[#This Row],[Артикул]],Стоимости_товаров_OZON[],24,0)</f>
        <v>0</v>
      </c>
      <c r="K94" s="3">
        <f>ROUNDUP(VLOOKUP(Обновление_цен[[#This Row],[Артикул]],Стоимости_товаров_OZON[],50,0),0)</f>
        <v>0</v>
      </c>
      <c r="L94" s="3">
        <f>VLOOKUP(Обновление_цен[[#This Row],[Артикул]],Стоимости_товаров_OZON[],26,0)</f>
        <v>200</v>
      </c>
      <c r="M94" s="3">
        <f>VLOOKUP(Обновление_цен[[#This Row],[Артикул]],Стоимости_товаров_OZON[],52,0)</f>
        <v>0</v>
      </c>
      <c r="N94" s="3">
        <f>VLOOKUP(Обновление_цен[[#This Row],[Артикул]],Стоимости_товаров_OZON[],25,0)</f>
        <v>0</v>
      </c>
      <c r="O94" s="3">
        <f>(Обновление_цен[[#This Row],[Себестоимость]]*4.5)+200</f>
        <v>200</v>
      </c>
    </row>
    <row r="95" spans="1:15" x14ac:dyDescent="0.3">
      <c r="A95" t="s">
        <v>321</v>
      </c>
      <c r="E95" t="s">
        <v>323</v>
      </c>
      <c r="F95" t="str">
        <f>UPPER(VLOOKUP(Обновление_цен[[#This Row],[Артикул]],Список_товар_API[],19,0))</f>
        <v>ARCHIEV</v>
      </c>
      <c r="G95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5" s="28" t="s">
        <v>545</v>
      </c>
      <c r="I95" s="3">
        <f>VLOOKUP(Обновление_цен[[#This Row],[Артикул]],Список_товар_API[],21,0)</f>
        <v>0</v>
      </c>
      <c r="J95" s="35">
        <f>VLOOKUP(Обновление_цен[[#This Row],[Артикул]],Стоимости_товаров_OZON[],24,0)</f>
        <v>0</v>
      </c>
      <c r="K95" s="35">
        <f>ROUNDUP(VLOOKUP(Обновление_цен[[#This Row],[Артикул]],Стоимости_товаров_OZON[],50,0),0)</f>
        <v>0</v>
      </c>
      <c r="L95" s="35">
        <f>VLOOKUP(Обновление_цен[[#This Row],[Артикул]],Стоимости_товаров_OZON[],26,0)</f>
        <v>200</v>
      </c>
      <c r="M95" s="3">
        <f>VLOOKUP(Обновление_цен[[#This Row],[Артикул]],Стоимости_товаров_OZON[],52,0)</f>
        <v>0</v>
      </c>
      <c r="N95" s="35">
        <f>VLOOKUP(Обновление_цен[[#This Row],[Артикул]],Стоимости_товаров_OZON[],25,0)</f>
        <v>0</v>
      </c>
      <c r="O95" s="3">
        <f>(Обновление_цен[[#This Row],[Себестоимость]]*4.5)+200</f>
        <v>200</v>
      </c>
    </row>
    <row r="96" spans="1:15" x14ac:dyDescent="0.3">
      <c r="A96" t="s">
        <v>324</v>
      </c>
      <c r="E96" t="s">
        <v>326</v>
      </c>
      <c r="F96" t="str">
        <f>UPPER(VLOOKUP(Обновление_цен[[#This Row],[Артикул]],Список_товар_API[],19,0))</f>
        <v>ARCHIEV</v>
      </c>
      <c r="G96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6" s="28" t="s">
        <v>545</v>
      </c>
      <c r="I96" s="3">
        <f>VLOOKUP(Обновление_цен[[#This Row],[Артикул]],Список_товар_API[],21,0)</f>
        <v>0</v>
      </c>
      <c r="J96" s="35">
        <f>VLOOKUP(Обновление_цен[[#This Row],[Артикул]],Стоимости_товаров_OZON[],24,0)</f>
        <v>0</v>
      </c>
      <c r="K96" s="35">
        <f>ROUNDUP(VLOOKUP(Обновление_цен[[#This Row],[Артикул]],Стоимости_товаров_OZON[],50,0),0)</f>
        <v>0</v>
      </c>
      <c r="L96" s="35">
        <f>VLOOKUP(Обновление_цен[[#This Row],[Артикул]],Стоимости_товаров_OZON[],26,0)</f>
        <v>200</v>
      </c>
      <c r="M96" s="3">
        <f>VLOOKUP(Обновление_цен[[#This Row],[Артикул]],Стоимости_товаров_OZON[],52,0)</f>
        <v>0</v>
      </c>
      <c r="N96" s="35">
        <f>VLOOKUP(Обновление_цен[[#This Row],[Артикул]],Стоимости_товаров_OZON[],25,0)</f>
        <v>0</v>
      </c>
      <c r="O96" s="3">
        <f>(Обновление_цен[[#This Row],[Себестоимость]]*4.5)+200</f>
        <v>200</v>
      </c>
    </row>
    <row r="97" spans="1:15" x14ac:dyDescent="0.3">
      <c r="A97" t="s">
        <v>328</v>
      </c>
      <c r="E97" t="s">
        <v>330</v>
      </c>
      <c r="F97" t="str">
        <f>UPPER(VLOOKUP(Обновление_цен[[#This Row],[Артикул]],Список_товар_API[],19,0))</f>
        <v>ARCHIEV</v>
      </c>
      <c r="G97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7" s="28" t="s">
        <v>545</v>
      </c>
      <c r="I97" s="3">
        <f>VLOOKUP(Обновление_цен[[#This Row],[Артикул]],Список_товар_API[],21,0)</f>
        <v>0</v>
      </c>
      <c r="J97" s="35">
        <f>VLOOKUP(Обновление_цен[[#This Row],[Артикул]],Стоимости_товаров_OZON[],24,0)</f>
        <v>0</v>
      </c>
      <c r="K97" s="35">
        <f>ROUNDUP(VLOOKUP(Обновление_цен[[#This Row],[Артикул]],Стоимости_товаров_OZON[],50,0),0)</f>
        <v>0</v>
      </c>
      <c r="L97" s="35">
        <f>VLOOKUP(Обновление_цен[[#This Row],[Артикул]],Стоимости_товаров_OZON[],26,0)</f>
        <v>3500</v>
      </c>
      <c r="M97" s="3">
        <f>VLOOKUP(Обновление_цен[[#This Row],[Артикул]],Стоимости_товаров_OZON[],52,0)</f>
        <v>0</v>
      </c>
      <c r="N97" s="35">
        <f>VLOOKUP(Обновление_цен[[#This Row],[Артикул]],Стоимости_товаров_OZON[],25,0)</f>
        <v>9000</v>
      </c>
      <c r="O97" s="3">
        <f>(Обновление_цен[[#This Row],[Себестоимость]]*4.5)+200</f>
        <v>200</v>
      </c>
    </row>
    <row r="98" spans="1:15" x14ac:dyDescent="0.3">
      <c r="A98" t="s">
        <v>332</v>
      </c>
      <c r="E98" t="s">
        <v>334</v>
      </c>
      <c r="F98" t="str">
        <f>UPPER(VLOOKUP(Обновление_цен[[#This Row],[Артикул]],Список_товар_API[],19,0))</f>
        <v>ARCHIEV</v>
      </c>
      <c r="G98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8" s="28" t="s">
        <v>545</v>
      </c>
      <c r="I98" s="3">
        <f>VLOOKUP(Обновление_цен[[#This Row],[Артикул]],Список_товар_API[],21,0)</f>
        <v>2187.039963321502</v>
      </c>
      <c r="J98" s="35">
        <f>VLOOKUP(Обновление_цен[[#This Row],[Артикул]],Стоимости_товаров_OZON[],24,0)</f>
        <v>0</v>
      </c>
      <c r="K98" s="35">
        <f>ROUNDUP(VLOOKUP(Обновление_цен[[#This Row],[Артикул]],Стоимости_товаров_OZON[],50,0),0)</f>
        <v>0</v>
      </c>
      <c r="L98" s="35">
        <f>VLOOKUP(Обновление_цен[[#This Row],[Артикул]],Стоимости_товаров_OZON[],26,0)</f>
        <v>3500</v>
      </c>
      <c r="M98" s="3">
        <f>VLOOKUP(Обновление_цен[[#This Row],[Артикул]],Стоимости_товаров_OZON[],52,0)</f>
        <v>0</v>
      </c>
      <c r="N98" s="35">
        <f>VLOOKUP(Обновление_цен[[#This Row],[Артикул]],Стоимости_товаров_OZON[],25,0)</f>
        <v>9000</v>
      </c>
      <c r="O98" s="3">
        <f>(Обновление_цен[[#This Row],[Себестоимость]]*4.5)+200</f>
        <v>10041.679834946759</v>
      </c>
    </row>
    <row r="99" spans="1:15" x14ac:dyDescent="0.3">
      <c r="A99" t="s">
        <v>336</v>
      </c>
      <c r="E99" t="s">
        <v>338</v>
      </c>
      <c r="F99" t="str">
        <f>UPPER(VLOOKUP(Обновление_цен[[#This Row],[Артикул]],Список_товар_API[],19,0))</f>
        <v>ARCHIEV</v>
      </c>
      <c r="G99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99" s="28" t="s">
        <v>545</v>
      </c>
      <c r="I99" s="3">
        <f>VLOOKUP(Обновление_цен[[#This Row],[Артикул]],Список_товар_API[],21,0)</f>
        <v>2187.039963321502</v>
      </c>
      <c r="J99" s="35">
        <f>VLOOKUP(Обновление_цен[[#This Row],[Артикул]],Стоимости_товаров_OZON[],24,0)</f>
        <v>0</v>
      </c>
      <c r="K99" s="35">
        <f>ROUNDUP(VLOOKUP(Обновление_цен[[#This Row],[Артикул]],Стоимости_товаров_OZON[],50,0),0)</f>
        <v>0</v>
      </c>
      <c r="L99" s="35">
        <f>VLOOKUP(Обновление_цен[[#This Row],[Артикул]],Стоимости_товаров_OZON[],26,0)</f>
        <v>3500</v>
      </c>
      <c r="M99" s="3">
        <f>VLOOKUP(Обновление_цен[[#This Row],[Артикул]],Стоимости_товаров_OZON[],52,0)</f>
        <v>0</v>
      </c>
      <c r="N99" s="35">
        <f>VLOOKUP(Обновление_цен[[#This Row],[Артикул]],Стоимости_товаров_OZON[],25,0)</f>
        <v>9000</v>
      </c>
      <c r="O99" s="3">
        <f>(Обновление_цен[[#This Row],[Себестоимость]]*4.5)+200</f>
        <v>10041.679834946759</v>
      </c>
    </row>
    <row r="100" spans="1:15" x14ac:dyDescent="0.3">
      <c r="A100" t="s">
        <v>340</v>
      </c>
      <c r="E100" t="s">
        <v>342</v>
      </c>
      <c r="F100" t="str">
        <f>UPPER(VLOOKUP(Обновление_цен[[#This Row],[Артикул]],Список_товар_API[],19,0))</f>
        <v>ARCHIEV</v>
      </c>
      <c r="G100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00" s="28" t="s">
        <v>545</v>
      </c>
      <c r="I100" s="3">
        <f>VLOOKUP(Обновление_цен[[#This Row],[Артикул]],Список_товар_API[],21,0)</f>
        <v>0</v>
      </c>
      <c r="J100" s="35">
        <f>VLOOKUP(Обновление_цен[[#This Row],[Артикул]],Стоимости_товаров_OZON[],24,0)</f>
        <v>0</v>
      </c>
      <c r="K100" s="35">
        <f>ROUNDUP(VLOOKUP(Обновление_цен[[#This Row],[Артикул]],Стоимости_товаров_OZON[],50,0),0)</f>
        <v>0</v>
      </c>
      <c r="L100" s="35">
        <f>VLOOKUP(Обновление_цен[[#This Row],[Артикул]],Стоимости_товаров_OZON[],26,0)</f>
        <v>4400</v>
      </c>
      <c r="M100" s="3">
        <f>VLOOKUP(Обновление_цен[[#This Row],[Артикул]],Стоимости_товаров_OZON[],52,0)</f>
        <v>0</v>
      </c>
      <c r="N100" s="35">
        <f>VLOOKUP(Обновление_цен[[#This Row],[Артикул]],Стоимости_товаров_OZON[],25,0)</f>
        <v>9000</v>
      </c>
      <c r="O100" s="3">
        <f>(Обновление_цен[[#This Row],[Себестоимость]]*4.5)+200</f>
        <v>200</v>
      </c>
    </row>
    <row r="101" spans="1:15" x14ac:dyDescent="0.3">
      <c r="A101" t="s">
        <v>343</v>
      </c>
      <c r="E101" t="s">
        <v>345</v>
      </c>
      <c r="F101" t="str">
        <f>UPPER(VLOOKUP(Обновление_цен[[#This Row],[Артикул]],Список_товар_API[],19,0))</f>
        <v>ARCHIEV</v>
      </c>
      <c r="G101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01" s="28" t="s">
        <v>545</v>
      </c>
      <c r="I101" s="3">
        <f>VLOOKUP(Обновление_цен[[#This Row],[Артикул]],Список_товар_API[],21,0)</f>
        <v>0</v>
      </c>
      <c r="J101" s="35">
        <f>VLOOKUP(Обновление_цен[[#This Row],[Артикул]],Стоимости_товаров_OZON[],24,0)</f>
        <v>0</v>
      </c>
      <c r="K101" s="35">
        <f>ROUNDUP(VLOOKUP(Обновление_цен[[#This Row],[Артикул]],Стоимости_товаров_OZON[],50,0),0)</f>
        <v>0</v>
      </c>
      <c r="L101" s="35">
        <f>VLOOKUP(Обновление_цен[[#This Row],[Артикул]],Стоимости_товаров_OZON[],26,0)</f>
        <v>4400</v>
      </c>
      <c r="M101" s="3">
        <f>VLOOKUP(Обновление_цен[[#This Row],[Артикул]],Стоимости_товаров_OZON[],52,0)</f>
        <v>0</v>
      </c>
      <c r="N101" s="35">
        <f>VLOOKUP(Обновление_цен[[#This Row],[Артикул]],Стоимости_товаров_OZON[],25,0)</f>
        <v>9000</v>
      </c>
      <c r="O101" s="3">
        <f>(Обновление_цен[[#This Row],[Себестоимость]]*4.5)+200</f>
        <v>200</v>
      </c>
    </row>
    <row r="102" spans="1:15" x14ac:dyDescent="0.3">
      <c r="A102" t="s">
        <v>346</v>
      </c>
      <c r="E102" t="s">
        <v>348</v>
      </c>
      <c r="F102" t="str">
        <f>UPPER(VLOOKUP(Обновление_цен[[#This Row],[Артикул]],Список_товар_API[],19,0))</f>
        <v>ARCHIEV</v>
      </c>
      <c r="G102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02" s="28" t="s">
        <v>545</v>
      </c>
      <c r="I102" s="3">
        <f>VLOOKUP(Обновление_цен[[#This Row],[Артикул]],Список_товар_API[],21,0)</f>
        <v>0</v>
      </c>
      <c r="J102" s="35">
        <f>VLOOKUP(Обновление_цен[[#This Row],[Артикул]],Стоимости_товаров_OZON[],24,0)</f>
        <v>0</v>
      </c>
      <c r="K102" s="35">
        <f>ROUNDUP(VLOOKUP(Обновление_цен[[#This Row],[Артикул]],Стоимости_товаров_OZON[],50,0),0)</f>
        <v>0</v>
      </c>
      <c r="L102" s="35">
        <f>VLOOKUP(Обновление_цен[[#This Row],[Артикул]],Стоимости_товаров_OZON[],26,0)</f>
        <v>4400</v>
      </c>
      <c r="M102" s="3">
        <f>VLOOKUP(Обновление_цен[[#This Row],[Артикул]],Стоимости_товаров_OZON[],52,0)</f>
        <v>0</v>
      </c>
      <c r="N102" s="35">
        <f>VLOOKUP(Обновление_цен[[#This Row],[Артикул]],Стоимости_товаров_OZON[],25,0)</f>
        <v>9000</v>
      </c>
      <c r="O102" s="3">
        <f>(Обновление_цен[[#This Row],[Себестоимость]]*4.5)+200</f>
        <v>200</v>
      </c>
    </row>
    <row r="103" spans="1:15" x14ac:dyDescent="0.3">
      <c r="A103" t="s">
        <v>350</v>
      </c>
      <c r="E103" t="s">
        <v>66</v>
      </c>
      <c r="F103" t="str">
        <f>UPPER(VLOOKUP(Обновление_цен[[#This Row],[Артикул]],Список_товар_API[],19,0))</f>
        <v>ARCHIEV</v>
      </c>
      <c r="G103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03" s="28" t="s">
        <v>545</v>
      </c>
      <c r="I103" s="3">
        <f>VLOOKUP(Обновление_цен[[#This Row],[Артикул]],Список_товар_API[],21,0)</f>
        <v>0</v>
      </c>
      <c r="J103" s="35">
        <f>VLOOKUP(Обновление_цен[[#This Row],[Артикул]],Стоимости_товаров_OZON[],24,0)</f>
        <v>0</v>
      </c>
      <c r="K103" s="35">
        <f>ROUNDUP(VLOOKUP(Обновление_цен[[#This Row],[Артикул]],Стоимости_товаров_OZON[],50,0),0)</f>
        <v>0</v>
      </c>
      <c r="L103" s="35">
        <f>VLOOKUP(Обновление_цен[[#This Row],[Артикул]],Стоимости_товаров_OZON[],26,0)</f>
        <v>2200</v>
      </c>
      <c r="M103" s="3">
        <f>VLOOKUP(Обновление_цен[[#This Row],[Артикул]],Стоимости_товаров_OZON[],52,0)</f>
        <v>0</v>
      </c>
      <c r="N103" s="35">
        <f>VLOOKUP(Обновление_цен[[#This Row],[Артикул]],Стоимости_товаров_OZON[],25,0)</f>
        <v>0</v>
      </c>
      <c r="O103" s="3">
        <f>(Обновление_цен[[#This Row],[Себестоимость]]*4.5)+200</f>
        <v>200</v>
      </c>
    </row>
    <row r="104" spans="1:15" x14ac:dyDescent="0.3">
      <c r="A104" t="s">
        <v>353</v>
      </c>
      <c r="E104" t="s">
        <v>355</v>
      </c>
      <c r="F104" t="str">
        <f>UPPER(VLOOKUP(Обновление_цен[[#This Row],[Артикул]],Список_товар_API[],19,0))</f>
        <v>ARCHIEV</v>
      </c>
      <c r="G104" t="str">
        <f>IF(OR(VLOOKUP(Обновление_цен[[#This Row],[Артикул]],Стоимости_товаров_OZON[],19,0),VLOOKUP(Обновление_цен[[#This Row],[Артикул]],Стоимости_товаров_OZON[],20,0)),"ENABLED","DISABLED")</f>
        <v>DISABLED</v>
      </c>
      <c r="H104" s="28" t="s">
        <v>545</v>
      </c>
      <c r="I104" s="3">
        <f>VLOOKUP(Обновление_цен[[#This Row],[Артикул]],Список_товар_API[],21,0)</f>
        <v>0</v>
      </c>
      <c r="J104" s="35">
        <f>VLOOKUP(Обновление_цен[[#This Row],[Артикул]],Стоимости_товаров_OZON[],24,0)</f>
        <v>0</v>
      </c>
      <c r="K104" s="35">
        <f>ROUNDUP(VLOOKUP(Обновление_цен[[#This Row],[Артикул]],Стоимости_товаров_OZON[],50,0),0)</f>
        <v>0</v>
      </c>
      <c r="L104" s="35">
        <f>VLOOKUP(Обновление_цен[[#This Row],[Артикул]],Стоимости_товаров_OZON[],26,0)</f>
        <v>2000</v>
      </c>
      <c r="M104" s="3">
        <f>VLOOKUP(Обновление_цен[[#This Row],[Артикул]],Стоимости_товаров_OZON[],52,0)</f>
        <v>0</v>
      </c>
      <c r="N104" s="35">
        <f>VLOOKUP(Обновление_цен[[#This Row],[Артикул]],Стоимости_товаров_OZON[],25,0)</f>
        <v>0</v>
      </c>
      <c r="O104" s="3">
        <f>(Обновление_цен[[#This Row],[Себестоимость]]*4.5)+200</f>
        <v>200</v>
      </c>
    </row>
  </sheetData>
  <conditionalFormatting sqref="G1:G1048576">
    <cfRule type="containsText" dxfId="17" priority="12" operator="containsText" text="ENABLED">
      <formula>NOT(ISERROR(SEARCH("ENABLED",G1)))</formula>
    </cfRule>
    <cfRule type="cellIs" dxfId="16" priority="13" operator="equal">
      <formula>"DISABLED"</formula>
    </cfRule>
  </conditionalFormatting>
  <conditionalFormatting sqref="H1:H1048576">
    <cfRule type="cellIs" dxfId="15" priority="10" operator="equal">
      <formula>"ENABLED"</formula>
    </cfRule>
    <cfRule type="cellIs" dxfId="14" priority="11" operator="equal">
      <formula>"DISABLED"</formula>
    </cfRule>
  </conditionalFormatting>
  <conditionalFormatting sqref="K2:K104">
    <cfRule type="cellIs" dxfId="13" priority="8" operator="greaterThan">
      <formula>L2</formula>
    </cfRule>
  </conditionalFormatting>
  <dataValidations count="2">
    <dataValidation type="list" allowBlank="1" showInputMessage="1" showErrorMessage="1" sqref="H2:H104" xr:uid="{92AD6957-4D3C-425E-869A-E0367E7A5993}">
      <formula1>"ENABLED,DISABLED"</formula1>
    </dataValidation>
    <dataValidation type="list" allowBlank="1" showInputMessage="1" showErrorMessage="1" sqref="H1 H105:H1048576" xr:uid="{F8C78A8B-2112-4EFF-9DCD-6C0782BFF1EB}">
      <formula1>"{DISABLED,ENABLED}"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24A3-24E8-4110-87EF-31A3A3A8C070}">
  <sheetPr>
    <tabColor rgb="FFFFFF00"/>
  </sheetPr>
  <dimension ref="A1:F4"/>
  <sheetViews>
    <sheetView workbookViewId="0">
      <selection activeCell="E4" sqref="E4"/>
    </sheetView>
  </sheetViews>
  <sheetFormatPr defaultRowHeight="14.4" x14ac:dyDescent="0.3"/>
  <cols>
    <col min="1" max="1" width="12.33203125" bestFit="1" customWidth="1"/>
    <col min="2" max="2" width="11.5546875" bestFit="1" customWidth="1"/>
    <col min="3" max="3" width="9.77734375" bestFit="1" customWidth="1"/>
    <col min="4" max="4" width="11.88671875" bestFit="1" customWidth="1"/>
    <col min="5" max="5" width="8" bestFit="1" customWidth="1"/>
    <col min="6" max="6" width="10.109375" style="1" bestFit="1" customWidth="1"/>
  </cols>
  <sheetData>
    <row r="1" spans="1:6" x14ac:dyDescent="0.3">
      <c r="A1" t="s">
        <v>654</v>
      </c>
      <c r="B1" t="s">
        <v>655</v>
      </c>
      <c r="C1" t="s">
        <v>656</v>
      </c>
      <c r="D1" t="s">
        <v>657</v>
      </c>
      <c r="E1" t="s">
        <v>658</v>
      </c>
      <c r="F1" s="1" t="s">
        <v>667</v>
      </c>
    </row>
    <row r="2" spans="1:6" x14ac:dyDescent="0.3">
      <c r="A2">
        <v>840</v>
      </c>
      <c r="B2" s="46" t="s">
        <v>659</v>
      </c>
      <c r="C2">
        <v>1</v>
      </c>
      <c r="D2" s="46" t="s">
        <v>660</v>
      </c>
      <c r="E2">
        <v>81.225700000000003</v>
      </c>
      <c r="F2" s="1">
        <v>45969.512560289353</v>
      </c>
    </row>
    <row r="3" spans="1:6" x14ac:dyDescent="0.3">
      <c r="A3">
        <v>978</v>
      </c>
      <c r="B3" s="46" t="s">
        <v>661</v>
      </c>
      <c r="C3">
        <v>1</v>
      </c>
      <c r="D3" s="46" t="s">
        <v>662</v>
      </c>
      <c r="E3">
        <v>93.836500000000001</v>
      </c>
      <c r="F3" s="1">
        <v>45969.512560289353</v>
      </c>
    </row>
    <row r="4" spans="1:6" x14ac:dyDescent="0.3">
      <c r="A4">
        <v>156</v>
      </c>
      <c r="B4" s="46" t="s">
        <v>663</v>
      </c>
      <c r="C4">
        <v>1</v>
      </c>
      <c r="D4" s="46" t="s">
        <v>664</v>
      </c>
      <c r="E4">
        <v>11.3561</v>
      </c>
      <c r="F4" s="1">
        <v>45969.512560289353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2199-F5FE-4890-8AD6-62E14DC38C47}">
  <sheetPr codeName="Лист7">
    <tabColor rgb="FFFFFF00"/>
  </sheetPr>
  <dimension ref="A1:X218"/>
  <sheetViews>
    <sheetView workbookViewId="0"/>
  </sheetViews>
  <sheetFormatPr defaultRowHeight="14.4" x14ac:dyDescent="0.3"/>
  <cols>
    <col min="1" max="1" width="11" bestFit="1" customWidth="1"/>
    <col min="2" max="2" width="80.88671875" bestFit="1" customWidth="1"/>
    <col min="3" max="3" width="13.77734375" bestFit="1" customWidth="1"/>
    <col min="4" max="4" width="15" bestFit="1" customWidth="1"/>
    <col min="5" max="5" width="29.88671875" bestFit="1" customWidth="1"/>
    <col min="6" max="6" width="11.33203125" bestFit="1" customWidth="1"/>
    <col min="7" max="7" width="29.109375" bestFit="1" customWidth="1"/>
    <col min="8" max="8" width="12.5546875" bestFit="1" customWidth="1"/>
    <col min="9" max="9" width="12" bestFit="1" customWidth="1"/>
    <col min="10" max="10" width="19.88671875" bestFit="1" customWidth="1"/>
    <col min="11" max="11" width="20.6640625" bestFit="1" customWidth="1"/>
    <col min="12" max="12" width="5.6640625" bestFit="1" customWidth="1"/>
    <col min="13" max="13" width="22.21875" bestFit="1" customWidth="1"/>
    <col min="14" max="14" width="18.6640625" bestFit="1" customWidth="1"/>
    <col min="15" max="15" width="25.88671875" bestFit="1" customWidth="1"/>
    <col min="16" max="16" width="21.44140625" bestFit="1" customWidth="1"/>
    <col min="17" max="17" width="26.5546875" bestFit="1" customWidth="1"/>
    <col min="18" max="18" width="25.6640625" bestFit="1" customWidth="1"/>
    <col min="19" max="19" width="20.109375" bestFit="1" customWidth="1"/>
    <col min="20" max="20" width="19.21875" bestFit="1" customWidth="1"/>
    <col min="21" max="21" width="23.21875" bestFit="1" customWidth="1"/>
    <col min="22" max="22" width="20.109375" bestFit="1" customWidth="1"/>
    <col min="23" max="23" width="34.33203125" bestFit="1" customWidth="1"/>
    <col min="24" max="24" width="28.33203125" bestFit="1" customWidth="1"/>
  </cols>
  <sheetData>
    <row r="1" spans="1:24" x14ac:dyDescent="0.3">
      <c r="A1" t="s">
        <v>195</v>
      </c>
      <c r="B1" t="s">
        <v>181</v>
      </c>
      <c r="C1" t="s">
        <v>182</v>
      </c>
      <c r="D1" t="s">
        <v>420</v>
      </c>
      <c r="E1" t="s">
        <v>421</v>
      </c>
      <c r="F1" t="s">
        <v>422</v>
      </c>
      <c r="G1" t="s">
        <v>423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432</v>
      </c>
      <c r="Q1" t="s">
        <v>433</v>
      </c>
      <c r="R1" t="s">
        <v>434</v>
      </c>
      <c r="S1" t="s">
        <v>435</v>
      </c>
      <c r="T1" t="s">
        <v>436</v>
      </c>
      <c r="U1" t="s">
        <v>437</v>
      </c>
      <c r="V1" t="s">
        <v>438</v>
      </c>
      <c r="W1" t="s">
        <v>439</v>
      </c>
      <c r="X1" t="s">
        <v>440</v>
      </c>
    </row>
    <row r="2" spans="1:24" x14ac:dyDescent="0.3">
      <c r="B2" t="s">
        <v>628</v>
      </c>
      <c r="C2" t="s">
        <v>594</v>
      </c>
      <c r="D2">
        <v>0</v>
      </c>
      <c r="E2" t="s">
        <v>199</v>
      </c>
      <c r="F2">
        <v>180</v>
      </c>
      <c r="G2" t="s">
        <v>683</v>
      </c>
      <c r="H2" s="46" t="s">
        <v>199</v>
      </c>
      <c r="I2">
        <v>0.61538461538461542</v>
      </c>
      <c r="J2">
        <v>0</v>
      </c>
      <c r="K2" t="s">
        <v>625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3">
      <c r="B3" t="s">
        <v>68</v>
      </c>
      <c r="C3" t="s">
        <v>140</v>
      </c>
      <c r="D3">
        <v>0</v>
      </c>
      <c r="E3" t="s">
        <v>199</v>
      </c>
      <c r="F3">
        <v>154</v>
      </c>
      <c r="G3" t="s">
        <v>448</v>
      </c>
      <c r="H3" s="46" t="s">
        <v>199</v>
      </c>
      <c r="I3">
        <v>0.38461538461538464</v>
      </c>
      <c r="J3">
        <v>0</v>
      </c>
      <c r="K3" t="s">
        <v>468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3">
      <c r="B4" t="s">
        <v>117</v>
      </c>
      <c r="C4" t="s">
        <v>163</v>
      </c>
      <c r="D4">
        <v>0</v>
      </c>
      <c r="E4" t="s">
        <v>199</v>
      </c>
      <c r="F4">
        <v>7</v>
      </c>
      <c r="G4" t="s">
        <v>459</v>
      </c>
      <c r="H4" s="46" t="s">
        <v>199</v>
      </c>
      <c r="I4">
        <v>0.25</v>
      </c>
      <c r="J4">
        <v>1</v>
      </c>
      <c r="K4" t="s">
        <v>454</v>
      </c>
      <c r="L4">
        <v>72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3">
      <c r="B5" t="s">
        <v>60</v>
      </c>
      <c r="C5" t="s">
        <v>136</v>
      </c>
      <c r="D5">
        <v>23843917228000</v>
      </c>
      <c r="E5" t="s">
        <v>447</v>
      </c>
      <c r="F5">
        <v>154</v>
      </c>
      <c r="G5" t="s">
        <v>448</v>
      </c>
      <c r="H5" s="46" t="s">
        <v>199</v>
      </c>
      <c r="I5">
        <v>0.73333333333333328</v>
      </c>
      <c r="J5">
        <v>0</v>
      </c>
      <c r="K5" t="s">
        <v>442</v>
      </c>
      <c r="L5">
        <v>12</v>
      </c>
      <c r="M5">
        <v>5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3">
      <c r="B6" t="s">
        <v>457</v>
      </c>
      <c r="C6" t="s">
        <v>179</v>
      </c>
      <c r="D6">
        <v>1020001853819000</v>
      </c>
      <c r="E6" t="s">
        <v>452</v>
      </c>
      <c r="F6">
        <v>180</v>
      </c>
      <c r="G6" t="s">
        <v>683</v>
      </c>
      <c r="H6" s="46" t="s">
        <v>199</v>
      </c>
      <c r="I6">
        <v>0</v>
      </c>
      <c r="J6">
        <v>121</v>
      </c>
      <c r="K6" t="s">
        <v>693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B7" t="s">
        <v>626</v>
      </c>
      <c r="C7" t="s">
        <v>599</v>
      </c>
      <c r="D7">
        <v>1020000759116000</v>
      </c>
      <c r="E7" t="s">
        <v>456</v>
      </c>
      <c r="F7">
        <v>154</v>
      </c>
      <c r="G7" t="s">
        <v>448</v>
      </c>
      <c r="H7" s="46" t="s">
        <v>199</v>
      </c>
      <c r="I7">
        <v>0.10714285714285714</v>
      </c>
      <c r="J7">
        <v>1</v>
      </c>
      <c r="K7" t="s">
        <v>454</v>
      </c>
      <c r="L7">
        <v>65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B8" t="s">
        <v>62</v>
      </c>
      <c r="C8" t="s">
        <v>137</v>
      </c>
      <c r="D8">
        <v>0</v>
      </c>
      <c r="E8" t="s">
        <v>199</v>
      </c>
      <c r="F8">
        <v>147</v>
      </c>
      <c r="G8" t="s">
        <v>685</v>
      </c>
      <c r="H8" s="46" t="s">
        <v>199</v>
      </c>
      <c r="I8">
        <v>3.2</v>
      </c>
      <c r="J8">
        <v>0</v>
      </c>
      <c r="K8" t="s">
        <v>625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B9" t="s">
        <v>72</v>
      </c>
      <c r="C9" t="s">
        <v>142</v>
      </c>
      <c r="D9">
        <v>0</v>
      </c>
      <c r="E9" t="s">
        <v>199</v>
      </c>
      <c r="F9">
        <v>170</v>
      </c>
      <c r="G9" t="s">
        <v>471</v>
      </c>
      <c r="H9" s="46" t="s">
        <v>199</v>
      </c>
      <c r="I9">
        <v>3</v>
      </c>
      <c r="J9">
        <v>0</v>
      </c>
      <c r="K9" t="s">
        <v>625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B10" t="s">
        <v>72</v>
      </c>
      <c r="C10" t="s">
        <v>142</v>
      </c>
      <c r="D10">
        <v>0</v>
      </c>
      <c r="E10" t="s">
        <v>199</v>
      </c>
      <c r="F10">
        <v>179</v>
      </c>
      <c r="G10" t="s">
        <v>686</v>
      </c>
      <c r="H10" s="46" t="s">
        <v>199</v>
      </c>
      <c r="I10">
        <v>3</v>
      </c>
      <c r="J10">
        <v>0</v>
      </c>
      <c r="K10" t="s">
        <v>625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B11" t="s">
        <v>50</v>
      </c>
      <c r="C11" t="s">
        <v>132</v>
      </c>
      <c r="D11">
        <v>17717042026000</v>
      </c>
      <c r="E11" t="s">
        <v>671</v>
      </c>
      <c r="F11">
        <v>147</v>
      </c>
      <c r="G11" t="s">
        <v>685</v>
      </c>
      <c r="H11" s="46" t="s">
        <v>199</v>
      </c>
      <c r="I11">
        <v>0.6071428571428571</v>
      </c>
      <c r="J11">
        <v>1</v>
      </c>
      <c r="K11" t="s">
        <v>442</v>
      </c>
      <c r="L11">
        <v>19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B12" t="s">
        <v>631</v>
      </c>
      <c r="C12" t="s">
        <v>577</v>
      </c>
      <c r="D12">
        <v>0</v>
      </c>
      <c r="E12" t="s">
        <v>199</v>
      </c>
      <c r="F12">
        <v>2</v>
      </c>
      <c r="G12" t="s">
        <v>444</v>
      </c>
      <c r="H12" s="46" t="s">
        <v>199</v>
      </c>
      <c r="I12">
        <v>0.47368421052631576</v>
      </c>
      <c r="J12">
        <v>0</v>
      </c>
      <c r="K12" t="s">
        <v>675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B13" t="s">
        <v>626</v>
      </c>
      <c r="C13" t="s">
        <v>599</v>
      </c>
      <c r="D13">
        <v>23843917228000</v>
      </c>
      <c r="E13" t="s">
        <v>447</v>
      </c>
      <c r="F13">
        <v>154</v>
      </c>
      <c r="G13" t="s">
        <v>448</v>
      </c>
      <c r="H13" s="46" t="s">
        <v>199</v>
      </c>
      <c r="I13">
        <v>0.10714285714285714</v>
      </c>
      <c r="J13">
        <v>1</v>
      </c>
      <c r="K13" t="s">
        <v>454</v>
      </c>
      <c r="L13">
        <v>65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B14" t="s">
        <v>62</v>
      </c>
      <c r="C14" t="s">
        <v>137</v>
      </c>
      <c r="D14">
        <v>0</v>
      </c>
      <c r="E14" t="s">
        <v>199</v>
      </c>
      <c r="F14">
        <v>17</v>
      </c>
      <c r="G14" t="s">
        <v>687</v>
      </c>
      <c r="H14" s="46" t="s">
        <v>199</v>
      </c>
      <c r="I14">
        <v>3.2</v>
      </c>
      <c r="J14">
        <v>0</v>
      </c>
      <c r="K14" t="s">
        <v>625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B15" t="s">
        <v>117</v>
      </c>
      <c r="C15" t="s">
        <v>163</v>
      </c>
      <c r="D15">
        <v>23903599483000</v>
      </c>
      <c r="E15" t="s">
        <v>449</v>
      </c>
      <c r="F15">
        <v>2</v>
      </c>
      <c r="G15" t="s">
        <v>444</v>
      </c>
      <c r="H15" s="46" t="s">
        <v>199</v>
      </c>
      <c r="I15">
        <v>0.25</v>
      </c>
      <c r="J15">
        <v>1</v>
      </c>
      <c r="K15" t="s">
        <v>454</v>
      </c>
      <c r="L15">
        <v>72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B16" t="s">
        <v>50</v>
      </c>
      <c r="C16" t="s">
        <v>132</v>
      </c>
      <c r="D16">
        <v>0</v>
      </c>
      <c r="E16" t="s">
        <v>199</v>
      </c>
      <c r="F16">
        <v>153</v>
      </c>
      <c r="G16" t="s">
        <v>460</v>
      </c>
      <c r="H16" s="46" t="s">
        <v>199</v>
      </c>
      <c r="I16">
        <v>0.6071428571428571</v>
      </c>
      <c r="J16">
        <v>1</v>
      </c>
      <c r="K16" t="s">
        <v>442</v>
      </c>
      <c r="L16">
        <v>19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2:24" x14ac:dyDescent="0.3">
      <c r="B17" t="s">
        <v>244</v>
      </c>
      <c r="C17" t="s">
        <v>172</v>
      </c>
      <c r="D17">
        <v>0</v>
      </c>
      <c r="E17" t="s">
        <v>199</v>
      </c>
      <c r="F17">
        <v>154</v>
      </c>
      <c r="G17" t="s">
        <v>448</v>
      </c>
      <c r="H17" s="46" t="s">
        <v>199</v>
      </c>
      <c r="I17">
        <v>0.17857142857142858</v>
      </c>
      <c r="J17">
        <v>4</v>
      </c>
      <c r="K17" t="s">
        <v>442</v>
      </c>
      <c r="L17">
        <v>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2:24" x14ac:dyDescent="0.3">
      <c r="B18" t="s">
        <v>234</v>
      </c>
      <c r="C18" t="s">
        <v>167</v>
      </c>
      <c r="D18">
        <v>0</v>
      </c>
      <c r="E18" t="s">
        <v>199</v>
      </c>
      <c r="F18">
        <v>2</v>
      </c>
      <c r="G18" t="s">
        <v>444</v>
      </c>
      <c r="H18" s="46" t="s">
        <v>199</v>
      </c>
      <c r="I18">
        <v>0.16</v>
      </c>
      <c r="J18">
        <v>0</v>
      </c>
      <c r="K18" t="s">
        <v>468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2:24" x14ac:dyDescent="0.3">
      <c r="B19" t="s">
        <v>232</v>
      </c>
      <c r="C19" t="s">
        <v>166</v>
      </c>
      <c r="D19">
        <v>1020001835468000</v>
      </c>
      <c r="E19" t="s">
        <v>461</v>
      </c>
      <c r="F19">
        <v>152</v>
      </c>
      <c r="G19" t="s">
        <v>688</v>
      </c>
      <c r="H19" s="46" t="s">
        <v>199</v>
      </c>
      <c r="I19">
        <v>1.6666666666666667</v>
      </c>
      <c r="J19">
        <v>0</v>
      </c>
      <c r="K19" t="s">
        <v>468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</row>
    <row r="20" spans="2:24" x14ac:dyDescent="0.3">
      <c r="B20" t="s">
        <v>52</v>
      </c>
      <c r="C20" t="s">
        <v>131</v>
      </c>
      <c r="D20">
        <v>0</v>
      </c>
      <c r="E20" t="s">
        <v>199</v>
      </c>
      <c r="F20">
        <v>16</v>
      </c>
      <c r="G20" t="s">
        <v>469</v>
      </c>
      <c r="H20" s="46" t="s">
        <v>199</v>
      </c>
      <c r="I20">
        <v>1.5294117647058822</v>
      </c>
      <c r="J20">
        <v>0</v>
      </c>
      <c r="K20" t="s">
        <v>468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2:24" x14ac:dyDescent="0.3">
      <c r="B21" t="s">
        <v>629</v>
      </c>
      <c r="C21" t="s">
        <v>586</v>
      </c>
      <c r="D21">
        <v>1020000115166000</v>
      </c>
      <c r="E21" t="s">
        <v>462</v>
      </c>
      <c r="F21">
        <v>154</v>
      </c>
      <c r="G21" t="s">
        <v>448</v>
      </c>
      <c r="H21" s="46" t="s">
        <v>199</v>
      </c>
      <c r="I21">
        <v>0</v>
      </c>
      <c r="J21">
        <v>82</v>
      </c>
      <c r="K21" t="s">
        <v>445</v>
      </c>
      <c r="L21">
        <v>0</v>
      </c>
      <c r="M21">
        <v>12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2:24" x14ac:dyDescent="0.3">
      <c r="B22" t="s">
        <v>62</v>
      </c>
      <c r="C22" t="s">
        <v>137</v>
      </c>
      <c r="D22">
        <v>0</v>
      </c>
      <c r="E22" t="s">
        <v>199</v>
      </c>
      <c r="F22">
        <v>148</v>
      </c>
      <c r="G22" t="s">
        <v>441</v>
      </c>
      <c r="H22" s="46" t="s">
        <v>199</v>
      </c>
      <c r="I22">
        <v>3.2</v>
      </c>
      <c r="J22">
        <v>0</v>
      </c>
      <c r="K22" t="s">
        <v>625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2:24" x14ac:dyDescent="0.3">
      <c r="B23" t="s">
        <v>60</v>
      </c>
      <c r="C23" t="s">
        <v>136</v>
      </c>
      <c r="D23">
        <v>0</v>
      </c>
      <c r="E23" t="s">
        <v>199</v>
      </c>
      <c r="F23">
        <v>151</v>
      </c>
      <c r="G23" t="s">
        <v>684</v>
      </c>
      <c r="H23" s="46" t="s">
        <v>199</v>
      </c>
      <c r="I23">
        <v>0.73333333333333328</v>
      </c>
      <c r="J23">
        <v>0</v>
      </c>
      <c r="K23" t="s">
        <v>442</v>
      </c>
      <c r="L23">
        <v>12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2:24" x14ac:dyDescent="0.3">
      <c r="B24" t="s">
        <v>475</v>
      </c>
      <c r="C24" t="s">
        <v>385</v>
      </c>
      <c r="D24">
        <v>23843917228000</v>
      </c>
      <c r="E24" t="s">
        <v>447</v>
      </c>
      <c r="F24">
        <v>154</v>
      </c>
      <c r="G24" t="s">
        <v>448</v>
      </c>
      <c r="H24" s="46" t="s">
        <v>199</v>
      </c>
      <c r="I24">
        <v>0</v>
      </c>
      <c r="J24">
        <v>86</v>
      </c>
      <c r="K24" t="s">
        <v>445</v>
      </c>
      <c r="L24">
        <v>0</v>
      </c>
      <c r="M24">
        <v>9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2:24" x14ac:dyDescent="0.3">
      <c r="B25" t="s">
        <v>72</v>
      </c>
      <c r="C25" t="s">
        <v>142</v>
      </c>
      <c r="D25">
        <v>0</v>
      </c>
      <c r="E25" t="s">
        <v>199</v>
      </c>
      <c r="F25">
        <v>150</v>
      </c>
      <c r="G25" t="s">
        <v>465</v>
      </c>
      <c r="H25" s="46" t="s">
        <v>199</v>
      </c>
      <c r="I25">
        <v>3</v>
      </c>
      <c r="J25">
        <v>0</v>
      </c>
      <c r="K25" t="s">
        <v>625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2:24" x14ac:dyDescent="0.3">
      <c r="B26" t="s">
        <v>634</v>
      </c>
      <c r="C26" t="s">
        <v>597</v>
      </c>
      <c r="D26">
        <v>0</v>
      </c>
      <c r="E26" t="s">
        <v>199</v>
      </c>
      <c r="F26">
        <v>7</v>
      </c>
      <c r="G26" t="s">
        <v>459</v>
      </c>
      <c r="H26" s="46" t="s">
        <v>199</v>
      </c>
      <c r="I26">
        <v>0.10714285714285714</v>
      </c>
      <c r="J26">
        <v>1</v>
      </c>
      <c r="K26" t="s">
        <v>454</v>
      </c>
      <c r="L26">
        <v>84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2:24" x14ac:dyDescent="0.3">
      <c r="B27" t="s">
        <v>626</v>
      </c>
      <c r="C27" t="s">
        <v>599</v>
      </c>
      <c r="D27">
        <v>0</v>
      </c>
      <c r="E27" t="s">
        <v>199</v>
      </c>
      <c r="F27">
        <v>170</v>
      </c>
      <c r="G27" t="s">
        <v>471</v>
      </c>
      <c r="H27" s="46" t="s">
        <v>199</v>
      </c>
      <c r="I27">
        <v>0.10714285714285714</v>
      </c>
      <c r="J27">
        <v>1</v>
      </c>
      <c r="K27" t="s">
        <v>454</v>
      </c>
      <c r="L27">
        <v>65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2:24" x14ac:dyDescent="0.3">
      <c r="B28" t="s">
        <v>50</v>
      </c>
      <c r="C28" t="s">
        <v>132</v>
      </c>
      <c r="D28">
        <v>15431806189000</v>
      </c>
      <c r="E28" t="s">
        <v>670</v>
      </c>
      <c r="F28">
        <v>154</v>
      </c>
      <c r="G28" t="s">
        <v>448</v>
      </c>
      <c r="H28" s="46" t="s">
        <v>199</v>
      </c>
      <c r="I28">
        <v>0.6071428571428571</v>
      </c>
      <c r="J28">
        <v>1</v>
      </c>
      <c r="K28" t="s">
        <v>442</v>
      </c>
      <c r="L28">
        <v>19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2:24" x14ac:dyDescent="0.3">
      <c r="B29" t="s">
        <v>234</v>
      </c>
      <c r="C29" t="s">
        <v>167</v>
      </c>
      <c r="D29">
        <v>0</v>
      </c>
      <c r="E29" t="s">
        <v>199</v>
      </c>
      <c r="F29">
        <v>109</v>
      </c>
      <c r="G29" t="s">
        <v>613</v>
      </c>
      <c r="H29" s="46" t="s">
        <v>199</v>
      </c>
      <c r="I29">
        <v>0.16</v>
      </c>
      <c r="J29">
        <v>0</v>
      </c>
      <c r="K29" t="s">
        <v>468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2:24" x14ac:dyDescent="0.3">
      <c r="B30" t="s">
        <v>62</v>
      </c>
      <c r="C30" t="s">
        <v>137</v>
      </c>
      <c r="D30">
        <v>0</v>
      </c>
      <c r="E30" t="s">
        <v>199</v>
      </c>
      <c r="F30">
        <v>144</v>
      </c>
      <c r="G30" t="s">
        <v>472</v>
      </c>
      <c r="H30" s="46" t="s">
        <v>199</v>
      </c>
      <c r="I30">
        <v>3.2</v>
      </c>
      <c r="J30">
        <v>0</v>
      </c>
      <c r="K30" t="s">
        <v>625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2:24" x14ac:dyDescent="0.3">
      <c r="B31" t="s">
        <v>633</v>
      </c>
      <c r="C31" t="s">
        <v>568</v>
      </c>
      <c r="D31">
        <v>0</v>
      </c>
      <c r="E31" t="s">
        <v>199</v>
      </c>
      <c r="F31">
        <v>17</v>
      </c>
      <c r="G31" t="s">
        <v>687</v>
      </c>
      <c r="H31" s="46" t="s">
        <v>199</v>
      </c>
      <c r="I31">
        <v>7.1428571428571425E-2</v>
      </c>
      <c r="J31">
        <v>10</v>
      </c>
      <c r="K31" t="s">
        <v>454</v>
      </c>
      <c r="L31">
        <v>98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2:24" x14ac:dyDescent="0.3">
      <c r="B32" t="s">
        <v>50</v>
      </c>
      <c r="C32" t="s">
        <v>132</v>
      </c>
      <c r="D32">
        <v>1020001649180000</v>
      </c>
      <c r="E32" t="s">
        <v>458</v>
      </c>
      <c r="F32">
        <v>2</v>
      </c>
      <c r="G32" t="s">
        <v>444</v>
      </c>
      <c r="H32" s="46" t="s">
        <v>199</v>
      </c>
      <c r="I32">
        <v>0.6071428571428571</v>
      </c>
      <c r="J32">
        <v>1</v>
      </c>
      <c r="K32" t="s">
        <v>442</v>
      </c>
      <c r="L32">
        <v>19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2:24" x14ac:dyDescent="0.3">
      <c r="B33" t="s">
        <v>86</v>
      </c>
      <c r="C33" t="s">
        <v>152</v>
      </c>
      <c r="D33">
        <v>0</v>
      </c>
      <c r="E33" t="s">
        <v>199</v>
      </c>
      <c r="F33">
        <v>155</v>
      </c>
      <c r="G33" t="s">
        <v>473</v>
      </c>
      <c r="H33" s="46" t="s">
        <v>199</v>
      </c>
      <c r="I33">
        <v>0.41176470588235292</v>
      </c>
      <c r="J33">
        <v>0</v>
      </c>
      <c r="K33" t="s">
        <v>632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2:24" x14ac:dyDescent="0.3">
      <c r="B34" t="s">
        <v>113</v>
      </c>
      <c r="C34" t="s">
        <v>161</v>
      </c>
      <c r="D34">
        <v>23902289166000</v>
      </c>
      <c r="E34" t="s">
        <v>450</v>
      </c>
      <c r="F34">
        <v>154</v>
      </c>
      <c r="G34" t="s">
        <v>448</v>
      </c>
      <c r="H34" s="46" t="s">
        <v>199</v>
      </c>
      <c r="I34">
        <v>7.1428571428571425E-2</v>
      </c>
      <c r="J34">
        <v>2</v>
      </c>
      <c r="K34" t="s">
        <v>451</v>
      </c>
      <c r="L34">
        <v>210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2:24" x14ac:dyDescent="0.3">
      <c r="B35" t="s">
        <v>88</v>
      </c>
      <c r="C35" t="s">
        <v>153</v>
      </c>
      <c r="D35">
        <v>23843917228000</v>
      </c>
      <c r="E35" t="s">
        <v>447</v>
      </c>
      <c r="F35">
        <v>154</v>
      </c>
      <c r="G35" t="s">
        <v>448</v>
      </c>
      <c r="H35" s="46" t="s">
        <v>199</v>
      </c>
      <c r="I35">
        <v>0</v>
      </c>
      <c r="J35">
        <v>0</v>
      </c>
      <c r="K35" t="s">
        <v>674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</row>
    <row r="36" spans="2:24" x14ac:dyDescent="0.3">
      <c r="B36" t="s">
        <v>115</v>
      </c>
      <c r="C36" t="s">
        <v>162</v>
      </c>
      <c r="D36">
        <v>0</v>
      </c>
      <c r="E36" t="s">
        <v>199</v>
      </c>
      <c r="F36">
        <v>149</v>
      </c>
      <c r="G36" t="s">
        <v>455</v>
      </c>
      <c r="H36" s="46" t="s">
        <v>199</v>
      </c>
      <c r="I36">
        <v>0.21428571428571427</v>
      </c>
      <c r="J36">
        <v>9</v>
      </c>
      <c r="K36" t="s">
        <v>442</v>
      </c>
      <c r="L36">
        <v>23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2:24" x14ac:dyDescent="0.3">
      <c r="B37" t="s">
        <v>232</v>
      </c>
      <c r="C37" t="s">
        <v>166</v>
      </c>
      <c r="D37">
        <v>0</v>
      </c>
      <c r="E37" t="s">
        <v>199</v>
      </c>
      <c r="F37">
        <v>109</v>
      </c>
      <c r="G37" t="s">
        <v>613</v>
      </c>
      <c r="H37" s="46" t="s">
        <v>199</v>
      </c>
      <c r="I37">
        <v>1.6666666666666667</v>
      </c>
      <c r="J37">
        <v>0</v>
      </c>
      <c r="K37" t="s">
        <v>468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2:24" x14ac:dyDescent="0.3">
      <c r="B38" t="s">
        <v>72</v>
      </c>
      <c r="C38" t="s">
        <v>142</v>
      </c>
      <c r="D38">
        <v>0</v>
      </c>
      <c r="E38" t="s">
        <v>199</v>
      </c>
      <c r="F38">
        <v>16</v>
      </c>
      <c r="G38" t="s">
        <v>469</v>
      </c>
      <c r="H38" s="46" t="s">
        <v>199</v>
      </c>
      <c r="I38">
        <v>3</v>
      </c>
      <c r="J38">
        <v>0</v>
      </c>
      <c r="K38" t="s">
        <v>625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2:24" x14ac:dyDescent="0.3">
      <c r="B39" t="s">
        <v>630</v>
      </c>
      <c r="C39" t="s">
        <v>569</v>
      </c>
      <c r="D39">
        <v>1020000759116000</v>
      </c>
      <c r="E39" t="s">
        <v>456</v>
      </c>
      <c r="F39">
        <v>154</v>
      </c>
      <c r="G39" t="s">
        <v>448</v>
      </c>
      <c r="H39" s="46" t="s">
        <v>199</v>
      </c>
      <c r="I39">
        <v>0.17857142857142858</v>
      </c>
      <c r="J39">
        <v>14</v>
      </c>
      <c r="K39" t="s">
        <v>442</v>
      </c>
      <c r="L39">
        <v>22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2:24" x14ac:dyDescent="0.3">
      <c r="B40" t="s">
        <v>583</v>
      </c>
      <c r="C40" t="s">
        <v>581</v>
      </c>
      <c r="D40">
        <v>0</v>
      </c>
      <c r="E40" t="s">
        <v>199</v>
      </c>
      <c r="F40">
        <v>109</v>
      </c>
      <c r="G40" t="s">
        <v>613</v>
      </c>
      <c r="H40" s="46" t="s">
        <v>199</v>
      </c>
      <c r="I40">
        <v>0.33333333333333331</v>
      </c>
      <c r="J40">
        <v>0</v>
      </c>
      <c r="K40" t="s">
        <v>468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2:24" x14ac:dyDescent="0.3">
      <c r="B41" t="s">
        <v>104</v>
      </c>
      <c r="C41" t="s">
        <v>158</v>
      </c>
      <c r="D41">
        <v>0</v>
      </c>
      <c r="E41" t="s">
        <v>199</v>
      </c>
      <c r="F41">
        <v>151</v>
      </c>
      <c r="G41" t="s">
        <v>684</v>
      </c>
      <c r="H41" s="46" t="s">
        <v>199</v>
      </c>
      <c r="I41">
        <v>7.6923076923076927E-2</v>
      </c>
      <c r="J41">
        <v>0</v>
      </c>
      <c r="K41" t="s">
        <v>468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2:24" x14ac:dyDescent="0.3">
      <c r="B42" t="s">
        <v>86</v>
      </c>
      <c r="C42" t="s">
        <v>152</v>
      </c>
      <c r="D42">
        <v>0</v>
      </c>
      <c r="E42" t="s">
        <v>199</v>
      </c>
      <c r="F42">
        <v>2</v>
      </c>
      <c r="G42" t="s">
        <v>444</v>
      </c>
      <c r="H42" s="46" t="s">
        <v>199</v>
      </c>
      <c r="I42">
        <v>0.41176470588235292</v>
      </c>
      <c r="J42">
        <v>0</v>
      </c>
      <c r="K42" t="s">
        <v>632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2:24" x14ac:dyDescent="0.3">
      <c r="B43" t="s">
        <v>115</v>
      </c>
      <c r="C43" t="s">
        <v>162</v>
      </c>
      <c r="D43">
        <v>17717042026000</v>
      </c>
      <c r="E43" t="s">
        <v>671</v>
      </c>
      <c r="F43">
        <v>147</v>
      </c>
      <c r="G43" t="s">
        <v>685</v>
      </c>
      <c r="H43" s="46" t="s">
        <v>199</v>
      </c>
      <c r="I43">
        <v>0.21428571428571427</v>
      </c>
      <c r="J43">
        <v>9</v>
      </c>
      <c r="K43" t="s">
        <v>442</v>
      </c>
      <c r="L43">
        <v>23</v>
      </c>
      <c r="M43">
        <v>1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2:24" x14ac:dyDescent="0.3">
      <c r="B44" t="s">
        <v>232</v>
      </c>
      <c r="C44" t="s">
        <v>166</v>
      </c>
      <c r="D44">
        <v>0</v>
      </c>
      <c r="E44" t="s">
        <v>199</v>
      </c>
      <c r="F44">
        <v>2</v>
      </c>
      <c r="G44" t="s">
        <v>444</v>
      </c>
      <c r="H44" s="46" t="s">
        <v>199</v>
      </c>
      <c r="I44">
        <v>1.6666666666666667</v>
      </c>
      <c r="J44">
        <v>0</v>
      </c>
      <c r="K44" t="s">
        <v>468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2:24" x14ac:dyDescent="0.3">
      <c r="B45" t="s">
        <v>86</v>
      </c>
      <c r="C45" t="s">
        <v>152</v>
      </c>
      <c r="D45">
        <v>0</v>
      </c>
      <c r="E45" t="s">
        <v>199</v>
      </c>
      <c r="F45">
        <v>109</v>
      </c>
      <c r="G45" t="s">
        <v>613</v>
      </c>
      <c r="H45" s="46" t="s">
        <v>199</v>
      </c>
      <c r="I45">
        <v>0.41176470588235292</v>
      </c>
      <c r="J45">
        <v>0</v>
      </c>
      <c r="K45" t="s">
        <v>632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2:24" x14ac:dyDescent="0.3">
      <c r="B46" t="s">
        <v>98</v>
      </c>
      <c r="C46" t="s">
        <v>155</v>
      </c>
      <c r="D46">
        <v>0</v>
      </c>
      <c r="E46" t="s">
        <v>199</v>
      </c>
      <c r="F46">
        <v>154</v>
      </c>
      <c r="G46" t="s">
        <v>448</v>
      </c>
      <c r="H46" s="46" t="s">
        <v>199</v>
      </c>
      <c r="I46">
        <v>3.5714285714285712E-2</v>
      </c>
      <c r="J46">
        <v>0</v>
      </c>
      <c r="K46" t="s">
        <v>442</v>
      </c>
      <c r="L46">
        <v>28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2:24" x14ac:dyDescent="0.3">
      <c r="B47" t="s">
        <v>70</v>
      </c>
      <c r="C47" t="s">
        <v>141</v>
      </c>
      <c r="D47">
        <v>0</v>
      </c>
      <c r="E47" t="s">
        <v>199</v>
      </c>
      <c r="F47">
        <v>151</v>
      </c>
      <c r="G47" t="s">
        <v>684</v>
      </c>
      <c r="H47" s="46" t="s">
        <v>199</v>
      </c>
      <c r="I47">
        <v>2.7777777777777777</v>
      </c>
      <c r="J47">
        <v>0</v>
      </c>
      <c r="K47" t="s">
        <v>632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2:24" x14ac:dyDescent="0.3">
      <c r="B48" t="s">
        <v>457</v>
      </c>
      <c r="C48" t="s">
        <v>179</v>
      </c>
      <c r="D48">
        <v>1020000613861000</v>
      </c>
      <c r="E48" t="s">
        <v>443</v>
      </c>
      <c r="F48">
        <v>2</v>
      </c>
      <c r="G48" t="s">
        <v>444</v>
      </c>
      <c r="H48" s="46" t="s">
        <v>199</v>
      </c>
      <c r="I48">
        <v>0</v>
      </c>
      <c r="J48">
        <v>121</v>
      </c>
      <c r="K48" t="s">
        <v>693</v>
      </c>
      <c r="L48">
        <v>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2:24" x14ac:dyDescent="0.3">
      <c r="B49" t="s">
        <v>614</v>
      </c>
      <c r="C49" t="s">
        <v>381</v>
      </c>
      <c r="D49">
        <v>0</v>
      </c>
      <c r="E49" t="s">
        <v>199</v>
      </c>
      <c r="F49">
        <v>151</v>
      </c>
      <c r="G49" t="s">
        <v>684</v>
      </c>
      <c r="H49" s="46" t="s">
        <v>199</v>
      </c>
      <c r="I49">
        <v>3.7037037037037035E-2</v>
      </c>
      <c r="J49">
        <v>0</v>
      </c>
      <c r="K49" t="s">
        <v>468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2:24" x14ac:dyDescent="0.3">
      <c r="B50" t="s">
        <v>52</v>
      </c>
      <c r="C50" t="s">
        <v>131</v>
      </c>
      <c r="D50">
        <v>0</v>
      </c>
      <c r="E50" t="s">
        <v>199</v>
      </c>
      <c r="F50">
        <v>179</v>
      </c>
      <c r="G50" t="s">
        <v>686</v>
      </c>
      <c r="H50" s="46" t="s">
        <v>199</v>
      </c>
      <c r="I50">
        <v>1.5294117647058822</v>
      </c>
      <c r="J50">
        <v>0</v>
      </c>
      <c r="K50" t="s">
        <v>468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2:24" x14ac:dyDescent="0.3">
      <c r="B51" t="s">
        <v>70</v>
      </c>
      <c r="C51" t="s">
        <v>141</v>
      </c>
      <c r="D51">
        <v>0</v>
      </c>
      <c r="E51" t="s">
        <v>199</v>
      </c>
      <c r="F51">
        <v>170</v>
      </c>
      <c r="G51" t="s">
        <v>471</v>
      </c>
      <c r="H51" s="46" t="s">
        <v>199</v>
      </c>
      <c r="I51">
        <v>2.7777777777777777</v>
      </c>
      <c r="J51">
        <v>0</v>
      </c>
      <c r="K51" t="s">
        <v>632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2:24" x14ac:dyDescent="0.3">
      <c r="B52" t="s">
        <v>628</v>
      </c>
      <c r="C52" t="s">
        <v>594</v>
      </c>
      <c r="D52">
        <v>0</v>
      </c>
      <c r="E52" t="s">
        <v>199</v>
      </c>
      <c r="F52">
        <v>174</v>
      </c>
      <c r="G52" t="s">
        <v>689</v>
      </c>
      <c r="H52" s="46" t="s">
        <v>199</v>
      </c>
      <c r="I52">
        <v>0.61538461538461542</v>
      </c>
      <c r="J52">
        <v>0</v>
      </c>
      <c r="K52" t="s">
        <v>625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2:24" x14ac:dyDescent="0.3">
      <c r="B53" t="s">
        <v>60</v>
      </c>
      <c r="C53" t="s">
        <v>136</v>
      </c>
      <c r="D53">
        <v>0</v>
      </c>
      <c r="E53" t="s">
        <v>199</v>
      </c>
      <c r="F53">
        <v>16</v>
      </c>
      <c r="G53" t="s">
        <v>469</v>
      </c>
      <c r="H53" s="46" t="s">
        <v>199</v>
      </c>
      <c r="I53">
        <v>0.73333333333333328</v>
      </c>
      <c r="J53">
        <v>0</v>
      </c>
      <c r="K53" t="s">
        <v>442</v>
      </c>
      <c r="L53">
        <v>12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2:24" x14ac:dyDescent="0.3">
      <c r="B54" t="s">
        <v>58</v>
      </c>
      <c r="C54" t="s">
        <v>135</v>
      </c>
      <c r="D54">
        <v>0</v>
      </c>
      <c r="E54" t="s">
        <v>199</v>
      </c>
      <c r="F54">
        <v>147</v>
      </c>
      <c r="G54" t="s">
        <v>685</v>
      </c>
      <c r="H54" s="46" t="s">
        <v>199</v>
      </c>
      <c r="I54">
        <v>5</v>
      </c>
      <c r="J54">
        <v>0</v>
      </c>
      <c r="K54" t="s">
        <v>468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2:24" x14ac:dyDescent="0.3">
      <c r="B55" t="s">
        <v>113</v>
      </c>
      <c r="C55" t="s">
        <v>161</v>
      </c>
      <c r="D55">
        <v>18044570445000</v>
      </c>
      <c r="E55" t="s">
        <v>467</v>
      </c>
      <c r="F55">
        <v>176</v>
      </c>
      <c r="G55" t="s">
        <v>690</v>
      </c>
      <c r="H55" s="46" t="s">
        <v>199</v>
      </c>
      <c r="I55">
        <v>7.1428571428571425E-2</v>
      </c>
      <c r="J55">
        <v>2</v>
      </c>
      <c r="K55" t="s">
        <v>451</v>
      </c>
      <c r="L55">
        <v>210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2:24" x14ac:dyDescent="0.3">
      <c r="B56" t="s">
        <v>52</v>
      </c>
      <c r="C56" t="s">
        <v>131</v>
      </c>
      <c r="D56">
        <v>18044341087000</v>
      </c>
      <c r="E56" t="s">
        <v>635</v>
      </c>
      <c r="F56">
        <v>151</v>
      </c>
      <c r="G56" t="s">
        <v>684</v>
      </c>
      <c r="H56" s="46" t="s">
        <v>199</v>
      </c>
      <c r="I56">
        <v>1.5294117647058822</v>
      </c>
      <c r="J56">
        <v>0</v>
      </c>
      <c r="K56" t="s">
        <v>468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</v>
      </c>
      <c r="X56">
        <v>0</v>
      </c>
    </row>
    <row r="57" spans="2:24" x14ac:dyDescent="0.3">
      <c r="B57" t="s">
        <v>98</v>
      </c>
      <c r="C57" t="s">
        <v>155</v>
      </c>
      <c r="D57">
        <v>23903599483000</v>
      </c>
      <c r="E57" t="s">
        <v>449</v>
      </c>
      <c r="F57">
        <v>2</v>
      </c>
      <c r="G57" t="s">
        <v>444</v>
      </c>
      <c r="H57" s="46" t="s">
        <v>199</v>
      </c>
      <c r="I57">
        <v>3.5714285714285712E-2</v>
      </c>
      <c r="J57">
        <v>0</v>
      </c>
      <c r="K57" t="s">
        <v>442</v>
      </c>
      <c r="L57">
        <v>28</v>
      </c>
      <c r="M57">
        <v>1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2:24" x14ac:dyDescent="0.3">
      <c r="B58" t="s">
        <v>628</v>
      </c>
      <c r="C58" t="s">
        <v>594</v>
      </c>
      <c r="D58">
        <v>0</v>
      </c>
      <c r="E58" t="s">
        <v>199</v>
      </c>
      <c r="F58">
        <v>17</v>
      </c>
      <c r="G58" t="s">
        <v>687</v>
      </c>
      <c r="H58" s="46" t="s">
        <v>199</v>
      </c>
      <c r="I58">
        <v>0.61538461538461542</v>
      </c>
      <c r="J58">
        <v>0</v>
      </c>
      <c r="K58" t="s">
        <v>625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2:24" x14ac:dyDescent="0.3">
      <c r="B59" t="s">
        <v>60</v>
      </c>
      <c r="C59" t="s">
        <v>136</v>
      </c>
      <c r="D59">
        <v>0</v>
      </c>
      <c r="E59" t="s">
        <v>199</v>
      </c>
      <c r="F59">
        <v>109</v>
      </c>
      <c r="G59" t="s">
        <v>613</v>
      </c>
      <c r="H59" s="46" t="s">
        <v>199</v>
      </c>
      <c r="I59">
        <v>0.73333333333333328</v>
      </c>
      <c r="J59">
        <v>0</v>
      </c>
      <c r="K59" t="s">
        <v>442</v>
      </c>
      <c r="L59">
        <v>12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2:24" x14ac:dyDescent="0.3">
      <c r="B60" t="s">
        <v>113</v>
      </c>
      <c r="C60" t="s">
        <v>161</v>
      </c>
      <c r="D60">
        <v>1020001836200000</v>
      </c>
      <c r="E60" t="s">
        <v>463</v>
      </c>
      <c r="F60">
        <v>179</v>
      </c>
      <c r="G60" t="s">
        <v>686</v>
      </c>
      <c r="H60" s="46" t="s">
        <v>199</v>
      </c>
      <c r="I60">
        <v>7.1428571428571425E-2</v>
      </c>
      <c r="J60">
        <v>2</v>
      </c>
      <c r="K60" t="s">
        <v>451</v>
      </c>
      <c r="L60">
        <v>210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2:24" x14ac:dyDescent="0.3">
      <c r="B61" t="s">
        <v>72</v>
      </c>
      <c r="C61" t="s">
        <v>142</v>
      </c>
      <c r="D61">
        <v>0</v>
      </c>
      <c r="E61" t="s">
        <v>199</v>
      </c>
      <c r="F61">
        <v>176</v>
      </c>
      <c r="G61" t="s">
        <v>690</v>
      </c>
      <c r="H61" s="46" t="s">
        <v>199</v>
      </c>
      <c r="I61">
        <v>3</v>
      </c>
      <c r="J61">
        <v>0</v>
      </c>
      <c r="K61" t="s">
        <v>625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2:24" x14ac:dyDescent="0.3">
      <c r="B62" t="s">
        <v>117</v>
      </c>
      <c r="C62" t="s">
        <v>163</v>
      </c>
      <c r="D62">
        <v>17717042026000</v>
      </c>
      <c r="E62" t="s">
        <v>671</v>
      </c>
      <c r="F62">
        <v>147</v>
      </c>
      <c r="G62" t="s">
        <v>685</v>
      </c>
      <c r="H62" s="46" t="s">
        <v>199</v>
      </c>
      <c r="I62">
        <v>0.25</v>
      </c>
      <c r="J62">
        <v>1</v>
      </c>
      <c r="K62" t="s">
        <v>454</v>
      </c>
      <c r="L62">
        <v>72</v>
      </c>
      <c r="M62">
        <v>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</row>
    <row r="63" spans="2:24" x14ac:dyDescent="0.3">
      <c r="B63" t="s">
        <v>628</v>
      </c>
      <c r="C63" t="s">
        <v>594</v>
      </c>
      <c r="D63">
        <v>0</v>
      </c>
      <c r="E63" t="s">
        <v>199</v>
      </c>
      <c r="F63">
        <v>147</v>
      </c>
      <c r="G63" t="s">
        <v>685</v>
      </c>
      <c r="H63" s="46" t="s">
        <v>199</v>
      </c>
      <c r="I63">
        <v>0.61538461538461542</v>
      </c>
      <c r="J63">
        <v>0</v>
      </c>
      <c r="K63" t="s">
        <v>625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2:24" x14ac:dyDescent="0.3">
      <c r="B64" t="s">
        <v>630</v>
      </c>
      <c r="C64" t="s">
        <v>569</v>
      </c>
      <c r="D64">
        <v>1020001853819000</v>
      </c>
      <c r="E64" t="s">
        <v>452</v>
      </c>
      <c r="F64">
        <v>180</v>
      </c>
      <c r="G64" t="s">
        <v>683</v>
      </c>
      <c r="H64" s="46" t="s">
        <v>199</v>
      </c>
      <c r="I64">
        <v>0.17857142857142858</v>
      </c>
      <c r="J64">
        <v>14</v>
      </c>
      <c r="K64" t="s">
        <v>442</v>
      </c>
      <c r="L64">
        <v>22</v>
      </c>
      <c r="M64">
        <v>1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2:24" x14ac:dyDescent="0.3">
      <c r="B65" t="s">
        <v>634</v>
      </c>
      <c r="C65" t="s">
        <v>597</v>
      </c>
      <c r="D65">
        <v>1020001836200000</v>
      </c>
      <c r="E65" t="s">
        <v>463</v>
      </c>
      <c r="F65">
        <v>179</v>
      </c>
      <c r="G65" t="s">
        <v>686</v>
      </c>
      <c r="H65" s="46" t="s">
        <v>199</v>
      </c>
      <c r="I65">
        <v>0.10714285714285714</v>
      </c>
      <c r="J65">
        <v>1</v>
      </c>
      <c r="K65" t="s">
        <v>454</v>
      </c>
      <c r="L65">
        <v>84</v>
      </c>
      <c r="M65">
        <v>1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2:24" x14ac:dyDescent="0.3">
      <c r="B66" t="s">
        <v>117</v>
      </c>
      <c r="C66" t="s">
        <v>163</v>
      </c>
      <c r="D66">
        <v>1020001836200000</v>
      </c>
      <c r="E66" t="s">
        <v>463</v>
      </c>
      <c r="F66">
        <v>179</v>
      </c>
      <c r="G66" t="s">
        <v>686</v>
      </c>
      <c r="H66" s="46" t="s">
        <v>199</v>
      </c>
      <c r="I66">
        <v>0.25</v>
      </c>
      <c r="J66">
        <v>1</v>
      </c>
      <c r="K66" t="s">
        <v>454</v>
      </c>
      <c r="L66">
        <v>72</v>
      </c>
      <c r="M66">
        <v>2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2:24" x14ac:dyDescent="0.3">
      <c r="B67" t="s">
        <v>50</v>
      </c>
      <c r="C67" t="s">
        <v>132</v>
      </c>
      <c r="D67">
        <v>0</v>
      </c>
      <c r="E67" t="s">
        <v>199</v>
      </c>
      <c r="F67">
        <v>17</v>
      </c>
      <c r="G67" t="s">
        <v>687</v>
      </c>
      <c r="H67" s="46" t="s">
        <v>199</v>
      </c>
      <c r="I67">
        <v>0.6071428571428571</v>
      </c>
      <c r="J67">
        <v>1</v>
      </c>
      <c r="K67" t="s">
        <v>442</v>
      </c>
      <c r="L67">
        <v>19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2:24" x14ac:dyDescent="0.3">
      <c r="B68" t="s">
        <v>72</v>
      </c>
      <c r="C68" t="s">
        <v>142</v>
      </c>
      <c r="D68">
        <v>0</v>
      </c>
      <c r="E68" t="s">
        <v>199</v>
      </c>
      <c r="F68">
        <v>155</v>
      </c>
      <c r="G68" t="s">
        <v>473</v>
      </c>
      <c r="H68" s="46" t="s">
        <v>199</v>
      </c>
      <c r="I68">
        <v>3</v>
      </c>
      <c r="J68">
        <v>0</v>
      </c>
      <c r="K68" t="s">
        <v>625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2:24" x14ac:dyDescent="0.3">
      <c r="B69" t="s">
        <v>113</v>
      </c>
      <c r="C69" t="s">
        <v>161</v>
      </c>
      <c r="D69">
        <v>17717042026000</v>
      </c>
      <c r="E69" t="s">
        <v>671</v>
      </c>
      <c r="F69">
        <v>147</v>
      </c>
      <c r="G69" t="s">
        <v>685</v>
      </c>
      <c r="H69" s="46" t="s">
        <v>199</v>
      </c>
      <c r="I69">
        <v>7.1428571428571425E-2</v>
      </c>
      <c r="J69">
        <v>2</v>
      </c>
      <c r="K69" t="s">
        <v>451</v>
      </c>
      <c r="L69">
        <v>210</v>
      </c>
      <c r="M69">
        <v>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2:24" x14ac:dyDescent="0.3">
      <c r="B70" t="s">
        <v>106</v>
      </c>
      <c r="C70" t="s">
        <v>159</v>
      </c>
      <c r="D70">
        <v>0</v>
      </c>
      <c r="E70" t="s">
        <v>199</v>
      </c>
      <c r="F70">
        <v>2</v>
      </c>
      <c r="G70" t="s">
        <v>444</v>
      </c>
      <c r="H70" s="46" t="s">
        <v>199</v>
      </c>
      <c r="I70">
        <v>1</v>
      </c>
      <c r="J70">
        <v>0</v>
      </c>
      <c r="K70" t="s">
        <v>468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2:24" x14ac:dyDescent="0.3">
      <c r="B71" t="s">
        <v>633</v>
      </c>
      <c r="C71" t="s">
        <v>568</v>
      </c>
      <c r="D71">
        <v>1020001649180000</v>
      </c>
      <c r="E71" t="s">
        <v>458</v>
      </c>
      <c r="F71">
        <v>2</v>
      </c>
      <c r="G71" t="s">
        <v>444</v>
      </c>
      <c r="H71" s="46" t="s">
        <v>199</v>
      </c>
      <c r="I71">
        <v>7.1428571428571425E-2</v>
      </c>
      <c r="J71">
        <v>10</v>
      </c>
      <c r="K71" t="s">
        <v>454</v>
      </c>
      <c r="L71">
        <v>98</v>
      </c>
      <c r="M71">
        <v>4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2:24" x14ac:dyDescent="0.3">
      <c r="B72" t="s">
        <v>72</v>
      </c>
      <c r="C72" t="s">
        <v>142</v>
      </c>
      <c r="D72">
        <v>0</v>
      </c>
      <c r="E72" t="s">
        <v>199</v>
      </c>
      <c r="F72">
        <v>2</v>
      </c>
      <c r="G72" t="s">
        <v>444</v>
      </c>
      <c r="H72" s="46" t="s">
        <v>199</v>
      </c>
      <c r="I72">
        <v>3</v>
      </c>
      <c r="J72">
        <v>0</v>
      </c>
      <c r="K72" t="s">
        <v>625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2:24" x14ac:dyDescent="0.3">
      <c r="B73" t="s">
        <v>52</v>
      </c>
      <c r="C73" t="s">
        <v>131</v>
      </c>
      <c r="D73">
        <v>1020001835468000</v>
      </c>
      <c r="E73" t="s">
        <v>461</v>
      </c>
      <c r="F73">
        <v>152</v>
      </c>
      <c r="G73" t="s">
        <v>688</v>
      </c>
      <c r="H73" s="46" t="s">
        <v>199</v>
      </c>
      <c r="I73">
        <v>1.5294117647058822</v>
      </c>
      <c r="J73">
        <v>0</v>
      </c>
      <c r="K73" t="s">
        <v>468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2</v>
      </c>
      <c r="W73">
        <v>0</v>
      </c>
      <c r="X73">
        <v>0</v>
      </c>
    </row>
    <row r="74" spans="2:24" x14ac:dyDescent="0.3">
      <c r="B74" t="s">
        <v>62</v>
      </c>
      <c r="C74" t="s">
        <v>137</v>
      </c>
      <c r="D74">
        <v>0</v>
      </c>
      <c r="E74" t="s">
        <v>199</v>
      </c>
      <c r="F74">
        <v>149</v>
      </c>
      <c r="G74" t="s">
        <v>455</v>
      </c>
      <c r="H74" s="46" t="s">
        <v>199</v>
      </c>
      <c r="I74">
        <v>3.2</v>
      </c>
      <c r="J74">
        <v>0</v>
      </c>
      <c r="K74" t="s">
        <v>625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2:24" x14ac:dyDescent="0.3">
      <c r="B75" t="s">
        <v>70</v>
      </c>
      <c r="C75" t="s">
        <v>141</v>
      </c>
      <c r="D75">
        <v>1020001835468000</v>
      </c>
      <c r="E75" t="s">
        <v>461</v>
      </c>
      <c r="F75">
        <v>152</v>
      </c>
      <c r="G75" t="s">
        <v>688</v>
      </c>
      <c r="H75" s="46" t="s">
        <v>199</v>
      </c>
      <c r="I75">
        <v>2.7777777777777777</v>
      </c>
      <c r="J75">
        <v>0</v>
      </c>
      <c r="K75" t="s">
        <v>632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</row>
    <row r="76" spans="2:24" x14ac:dyDescent="0.3">
      <c r="B76" t="s">
        <v>630</v>
      </c>
      <c r="C76" t="s">
        <v>569</v>
      </c>
      <c r="D76">
        <v>1020001835468000</v>
      </c>
      <c r="E76" t="s">
        <v>461</v>
      </c>
      <c r="F76">
        <v>152</v>
      </c>
      <c r="G76" t="s">
        <v>688</v>
      </c>
      <c r="H76" s="46" t="s">
        <v>199</v>
      </c>
      <c r="I76">
        <v>0.17857142857142858</v>
      </c>
      <c r="J76">
        <v>14</v>
      </c>
      <c r="K76" t="s">
        <v>442</v>
      </c>
      <c r="L76">
        <v>22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2:24" x14ac:dyDescent="0.3">
      <c r="B77" t="s">
        <v>230</v>
      </c>
      <c r="C77" t="s">
        <v>165</v>
      </c>
      <c r="D77">
        <v>0</v>
      </c>
      <c r="E77" t="s">
        <v>199</v>
      </c>
      <c r="F77">
        <v>12</v>
      </c>
      <c r="G77" t="s">
        <v>549</v>
      </c>
      <c r="H77" s="46" t="s">
        <v>199</v>
      </c>
      <c r="I77">
        <v>0.23076923076923081</v>
      </c>
      <c r="J77">
        <v>0</v>
      </c>
      <c r="K77" t="s">
        <v>442</v>
      </c>
      <c r="L77">
        <v>4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2:24" x14ac:dyDescent="0.3">
      <c r="B78" t="s">
        <v>117</v>
      </c>
      <c r="C78" t="s">
        <v>163</v>
      </c>
      <c r="D78">
        <v>1020001649180000</v>
      </c>
      <c r="E78" t="s">
        <v>458</v>
      </c>
      <c r="F78">
        <v>2</v>
      </c>
      <c r="G78" t="s">
        <v>444</v>
      </c>
      <c r="H78" s="46" t="s">
        <v>199</v>
      </c>
      <c r="I78">
        <v>0.25</v>
      </c>
      <c r="J78">
        <v>1</v>
      </c>
      <c r="K78" t="s">
        <v>454</v>
      </c>
      <c r="L78">
        <v>72</v>
      </c>
      <c r="M78">
        <v>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2:24" x14ac:dyDescent="0.3">
      <c r="B79" t="s">
        <v>72</v>
      </c>
      <c r="C79" t="s">
        <v>142</v>
      </c>
      <c r="D79">
        <v>0</v>
      </c>
      <c r="E79" t="s">
        <v>199</v>
      </c>
      <c r="F79">
        <v>107</v>
      </c>
      <c r="G79" t="s">
        <v>666</v>
      </c>
      <c r="H79" s="46" t="s">
        <v>199</v>
      </c>
      <c r="I79">
        <v>3</v>
      </c>
      <c r="J79">
        <v>0</v>
      </c>
      <c r="K79" t="s">
        <v>625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2:24" x14ac:dyDescent="0.3">
      <c r="B80" t="s">
        <v>60</v>
      </c>
      <c r="C80" t="s">
        <v>136</v>
      </c>
      <c r="D80">
        <v>1020001853819000</v>
      </c>
      <c r="E80" t="s">
        <v>452</v>
      </c>
      <c r="F80">
        <v>180</v>
      </c>
      <c r="G80" t="s">
        <v>683</v>
      </c>
      <c r="H80" s="46" t="s">
        <v>199</v>
      </c>
      <c r="I80">
        <v>0.73333333333333328</v>
      </c>
      <c r="J80">
        <v>0</v>
      </c>
      <c r="K80" t="s">
        <v>442</v>
      </c>
      <c r="L80">
        <v>12</v>
      </c>
      <c r="M80">
        <v>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2:24" x14ac:dyDescent="0.3">
      <c r="B81" t="s">
        <v>634</v>
      </c>
      <c r="C81" t="s">
        <v>597</v>
      </c>
      <c r="D81">
        <v>1020000267736000</v>
      </c>
      <c r="E81" t="s">
        <v>665</v>
      </c>
      <c r="F81">
        <v>17</v>
      </c>
      <c r="G81" t="s">
        <v>687</v>
      </c>
      <c r="H81" s="46" t="s">
        <v>199</v>
      </c>
      <c r="I81">
        <v>0.10714285714285714</v>
      </c>
      <c r="J81">
        <v>1</v>
      </c>
      <c r="K81" t="s">
        <v>454</v>
      </c>
      <c r="L81">
        <v>84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2:24" x14ac:dyDescent="0.3">
      <c r="B82" t="s">
        <v>117</v>
      </c>
      <c r="C82" t="s">
        <v>163</v>
      </c>
      <c r="D82">
        <v>23684735180000</v>
      </c>
      <c r="E82" t="s">
        <v>673</v>
      </c>
      <c r="F82">
        <v>16</v>
      </c>
      <c r="G82" t="s">
        <v>469</v>
      </c>
      <c r="H82" s="46" t="s">
        <v>199</v>
      </c>
      <c r="I82">
        <v>0.25</v>
      </c>
      <c r="J82">
        <v>1</v>
      </c>
      <c r="K82" t="s">
        <v>454</v>
      </c>
      <c r="L82">
        <v>72</v>
      </c>
      <c r="M82">
        <v>1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2:24" x14ac:dyDescent="0.3">
      <c r="B83" t="s">
        <v>50</v>
      </c>
      <c r="C83" t="s">
        <v>132</v>
      </c>
      <c r="D83">
        <v>1020001853757000</v>
      </c>
      <c r="E83" t="s">
        <v>676</v>
      </c>
      <c r="F83">
        <v>154</v>
      </c>
      <c r="G83" t="s">
        <v>448</v>
      </c>
      <c r="H83" s="46" t="s">
        <v>199</v>
      </c>
      <c r="I83">
        <v>0.6071428571428571</v>
      </c>
      <c r="J83">
        <v>1</v>
      </c>
      <c r="K83" t="s">
        <v>442</v>
      </c>
      <c r="L83">
        <v>19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</row>
    <row r="84" spans="2:24" x14ac:dyDescent="0.3">
      <c r="B84" t="s">
        <v>50</v>
      </c>
      <c r="C84" t="s">
        <v>132</v>
      </c>
      <c r="D84">
        <v>18044570445000</v>
      </c>
      <c r="E84" t="s">
        <v>467</v>
      </c>
      <c r="F84">
        <v>176</v>
      </c>
      <c r="G84" t="s">
        <v>690</v>
      </c>
      <c r="H84" s="46" t="s">
        <v>199</v>
      </c>
      <c r="I84">
        <v>0.6071428571428571</v>
      </c>
      <c r="J84">
        <v>1</v>
      </c>
      <c r="K84" t="s">
        <v>442</v>
      </c>
      <c r="L84">
        <v>19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2:24" x14ac:dyDescent="0.3">
      <c r="B85" t="s">
        <v>62</v>
      </c>
      <c r="C85" t="s">
        <v>137</v>
      </c>
      <c r="D85">
        <v>1020000241710000</v>
      </c>
      <c r="E85" t="s">
        <v>453</v>
      </c>
      <c r="F85">
        <v>154</v>
      </c>
      <c r="G85" t="s">
        <v>448</v>
      </c>
      <c r="H85" s="46" t="s">
        <v>199</v>
      </c>
      <c r="I85">
        <v>3.2</v>
      </c>
      <c r="J85">
        <v>0</v>
      </c>
      <c r="K85" t="s">
        <v>625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</row>
    <row r="86" spans="2:24" x14ac:dyDescent="0.3">
      <c r="B86" t="s">
        <v>86</v>
      </c>
      <c r="C86" t="s">
        <v>152</v>
      </c>
      <c r="D86">
        <v>0</v>
      </c>
      <c r="E86" t="s">
        <v>199</v>
      </c>
      <c r="F86">
        <v>150</v>
      </c>
      <c r="G86" t="s">
        <v>465</v>
      </c>
      <c r="H86" s="46" t="s">
        <v>199</v>
      </c>
      <c r="I86">
        <v>0.41176470588235292</v>
      </c>
      <c r="J86">
        <v>0</v>
      </c>
      <c r="K86" t="s">
        <v>632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</row>
    <row r="87" spans="2:24" x14ac:dyDescent="0.3">
      <c r="B87" t="s">
        <v>634</v>
      </c>
      <c r="C87" t="s">
        <v>597</v>
      </c>
      <c r="D87">
        <v>1020000241710000</v>
      </c>
      <c r="E87" t="s">
        <v>453</v>
      </c>
      <c r="F87">
        <v>154</v>
      </c>
      <c r="G87" t="s">
        <v>448</v>
      </c>
      <c r="H87" s="46" t="s">
        <v>199</v>
      </c>
      <c r="I87">
        <v>0.10714285714285714</v>
      </c>
      <c r="J87">
        <v>1</v>
      </c>
      <c r="K87" t="s">
        <v>454</v>
      </c>
      <c r="L87">
        <v>84</v>
      </c>
      <c r="M87">
        <v>0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2:24" x14ac:dyDescent="0.3">
      <c r="B88" t="s">
        <v>72</v>
      </c>
      <c r="C88" t="s">
        <v>142</v>
      </c>
      <c r="D88">
        <v>1020001835468000</v>
      </c>
      <c r="E88" t="s">
        <v>461</v>
      </c>
      <c r="F88">
        <v>152</v>
      </c>
      <c r="G88" t="s">
        <v>688</v>
      </c>
      <c r="H88" s="46" t="s">
        <v>199</v>
      </c>
      <c r="I88">
        <v>3</v>
      </c>
      <c r="J88">
        <v>0</v>
      </c>
      <c r="K88" t="s">
        <v>625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2</v>
      </c>
      <c r="W88">
        <v>0</v>
      </c>
      <c r="X88">
        <v>0</v>
      </c>
    </row>
    <row r="89" spans="2:24" x14ac:dyDescent="0.3">
      <c r="B89" t="s">
        <v>113</v>
      </c>
      <c r="C89" t="s">
        <v>161</v>
      </c>
      <c r="D89">
        <v>1020000241710000</v>
      </c>
      <c r="E89" t="s">
        <v>453</v>
      </c>
      <c r="F89">
        <v>154</v>
      </c>
      <c r="G89" t="s">
        <v>448</v>
      </c>
      <c r="H89" s="46" t="s">
        <v>199</v>
      </c>
      <c r="I89">
        <v>7.1428571428571425E-2</v>
      </c>
      <c r="J89">
        <v>2</v>
      </c>
      <c r="K89" t="s">
        <v>451</v>
      </c>
      <c r="L89">
        <v>210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2:24" x14ac:dyDescent="0.3">
      <c r="B90" t="s">
        <v>626</v>
      </c>
      <c r="C90" t="s">
        <v>599</v>
      </c>
      <c r="D90">
        <v>1020001853819000</v>
      </c>
      <c r="E90" t="s">
        <v>452</v>
      </c>
      <c r="F90">
        <v>180</v>
      </c>
      <c r="G90" t="s">
        <v>683</v>
      </c>
      <c r="H90" s="46" t="s">
        <v>199</v>
      </c>
      <c r="I90">
        <v>0.10714285714285714</v>
      </c>
      <c r="J90">
        <v>1</v>
      </c>
      <c r="K90" t="s">
        <v>454</v>
      </c>
      <c r="L90">
        <v>65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2:24" x14ac:dyDescent="0.3">
      <c r="B91" t="s">
        <v>68</v>
      </c>
      <c r="C91" t="s">
        <v>140</v>
      </c>
      <c r="D91">
        <v>0</v>
      </c>
      <c r="E91" t="s">
        <v>199</v>
      </c>
      <c r="F91">
        <v>148</v>
      </c>
      <c r="G91" t="s">
        <v>441</v>
      </c>
      <c r="H91" s="46" t="s">
        <v>199</v>
      </c>
      <c r="I91">
        <v>0.38461538461538464</v>
      </c>
      <c r="J91">
        <v>0</v>
      </c>
      <c r="K91" t="s">
        <v>468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2:24" x14ac:dyDescent="0.3">
      <c r="B92" t="s">
        <v>58</v>
      </c>
      <c r="C92" t="s">
        <v>135</v>
      </c>
      <c r="D92">
        <v>0</v>
      </c>
      <c r="E92" t="s">
        <v>199</v>
      </c>
      <c r="F92">
        <v>153</v>
      </c>
      <c r="G92" t="s">
        <v>460</v>
      </c>
      <c r="H92" s="46" t="s">
        <v>199</v>
      </c>
      <c r="I92">
        <v>5</v>
      </c>
      <c r="J92">
        <v>0</v>
      </c>
      <c r="K92" t="s">
        <v>468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2:24" x14ac:dyDescent="0.3">
      <c r="B93" t="s">
        <v>58</v>
      </c>
      <c r="C93" t="s">
        <v>135</v>
      </c>
      <c r="D93">
        <v>0</v>
      </c>
      <c r="E93" t="s">
        <v>199</v>
      </c>
      <c r="F93">
        <v>180</v>
      </c>
      <c r="G93" t="s">
        <v>683</v>
      </c>
      <c r="H93" s="46" t="s">
        <v>199</v>
      </c>
      <c r="I93">
        <v>5</v>
      </c>
      <c r="J93">
        <v>0</v>
      </c>
      <c r="K93" t="s">
        <v>468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2:24" x14ac:dyDescent="0.3">
      <c r="B94" t="s">
        <v>457</v>
      </c>
      <c r="C94" t="s">
        <v>179</v>
      </c>
      <c r="D94">
        <v>1020000115166000</v>
      </c>
      <c r="E94" t="s">
        <v>462</v>
      </c>
      <c r="F94">
        <v>154</v>
      </c>
      <c r="G94" t="s">
        <v>448</v>
      </c>
      <c r="H94" s="46" t="s">
        <v>199</v>
      </c>
      <c r="I94">
        <v>0</v>
      </c>
      <c r="J94">
        <v>121</v>
      </c>
      <c r="K94" t="s">
        <v>693</v>
      </c>
      <c r="L94">
        <v>0</v>
      </c>
      <c r="M94">
        <v>4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2:24" x14ac:dyDescent="0.3">
      <c r="B95" t="s">
        <v>60</v>
      </c>
      <c r="C95" t="s">
        <v>136</v>
      </c>
      <c r="D95">
        <v>1020001835468000</v>
      </c>
      <c r="E95" t="s">
        <v>461</v>
      </c>
      <c r="F95">
        <v>152</v>
      </c>
      <c r="G95" t="s">
        <v>688</v>
      </c>
      <c r="H95" s="46" t="s">
        <v>199</v>
      </c>
      <c r="I95">
        <v>0.73333333333333328</v>
      </c>
      <c r="J95">
        <v>0</v>
      </c>
      <c r="K95" t="s">
        <v>442</v>
      </c>
      <c r="L95">
        <v>12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</v>
      </c>
      <c r="W95">
        <v>0</v>
      </c>
      <c r="X95">
        <v>0</v>
      </c>
    </row>
    <row r="96" spans="2:24" x14ac:dyDescent="0.3">
      <c r="B96" t="s">
        <v>70</v>
      </c>
      <c r="C96" t="s">
        <v>141</v>
      </c>
      <c r="D96">
        <v>0</v>
      </c>
      <c r="E96" t="s">
        <v>199</v>
      </c>
      <c r="F96">
        <v>176</v>
      </c>
      <c r="G96" t="s">
        <v>690</v>
      </c>
      <c r="H96" s="46" t="s">
        <v>199</v>
      </c>
      <c r="I96">
        <v>2.7777777777777777</v>
      </c>
      <c r="J96">
        <v>0</v>
      </c>
      <c r="K96" t="s">
        <v>632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2:24" x14ac:dyDescent="0.3">
      <c r="B97" t="s">
        <v>408</v>
      </c>
      <c r="C97" t="s">
        <v>176</v>
      </c>
      <c r="D97">
        <v>0</v>
      </c>
      <c r="E97" t="s">
        <v>199</v>
      </c>
      <c r="F97">
        <v>2</v>
      </c>
      <c r="G97" t="s">
        <v>444</v>
      </c>
      <c r="H97" s="46" t="s">
        <v>199</v>
      </c>
      <c r="I97">
        <v>0.3636363636363637</v>
      </c>
      <c r="J97">
        <v>0</v>
      </c>
      <c r="K97" t="s">
        <v>468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2:24" x14ac:dyDescent="0.3">
      <c r="B98" t="s">
        <v>70</v>
      </c>
      <c r="C98" t="s">
        <v>141</v>
      </c>
      <c r="D98">
        <v>1020000613861000</v>
      </c>
      <c r="E98" t="s">
        <v>443</v>
      </c>
      <c r="F98">
        <v>2</v>
      </c>
      <c r="G98" t="s">
        <v>444</v>
      </c>
      <c r="H98" s="46" t="s">
        <v>199</v>
      </c>
      <c r="I98">
        <v>2.7777777777777777</v>
      </c>
      <c r="J98">
        <v>0</v>
      </c>
      <c r="K98" t="s">
        <v>632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1</v>
      </c>
      <c r="X98">
        <v>0</v>
      </c>
    </row>
    <row r="99" spans="2:24" x14ac:dyDescent="0.3">
      <c r="B99" t="s">
        <v>52</v>
      </c>
      <c r="C99" t="s">
        <v>131</v>
      </c>
      <c r="D99">
        <v>1020000613861000</v>
      </c>
      <c r="E99" t="s">
        <v>443</v>
      </c>
      <c r="F99">
        <v>2</v>
      </c>
      <c r="G99" t="s">
        <v>444</v>
      </c>
      <c r="H99" s="46" t="s">
        <v>199</v>
      </c>
      <c r="I99">
        <v>1.5294117647058822</v>
      </c>
      <c r="J99">
        <v>0</v>
      </c>
      <c r="K99" t="s">
        <v>468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</row>
    <row r="100" spans="2:24" x14ac:dyDescent="0.3">
      <c r="B100" t="s">
        <v>113</v>
      </c>
      <c r="C100" t="s">
        <v>161</v>
      </c>
      <c r="D100">
        <v>23684735180000</v>
      </c>
      <c r="E100" t="s">
        <v>673</v>
      </c>
      <c r="F100">
        <v>16</v>
      </c>
      <c r="G100" t="s">
        <v>469</v>
      </c>
      <c r="H100" s="46" t="s">
        <v>199</v>
      </c>
      <c r="I100">
        <v>7.1428571428571425E-2</v>
      </c>
      <c r="J100">
        <v>2</v>
      </c>
      <c r="K100" t="s">
        <v>451</v>
      </c>
      <c r="L100">
        <v>210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2:24" x14ac:dyDescent="0.3">
      <c r="B101" t="s">
        <v>626</v>
      </c>
      <c r="C101" t="s">
        <v>599</v>
      </c>
      <c r="D101">
        <v>1020001835468000</v>
      </c>
      <c r="E101" t="s">
        <v>461</v>
      </c>
      <c r="F101">
        <v>152</v>
      </c>
      <c r="G101" t="s">
        <v>688</v>
      </c>
      <c r="H101" s="46" t="s">
        <v>199</v>
      </c>
      <c r="I101">
        <v>0.10714285714285714</v>
      </c>
      <c r="J101">
        <v>1</v>
      </c>
      <c r="K101" t="s">
        <v>454</v>
      </c>
      <c r="L101">
        <v>65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  <c r="X101">
        <v>0</v>
      </c>
    </row>
    <row r="102" spans="2:24" x14ac:dyDescent="0.3">
      <c r="B102" t="s">
        <v>626</v>
      </c>
      <c r="C102" t="s">
        <v>599</v>
      </c>
      <c r="D102">
        <v>1020001007805000</v>
      </c>
      <c r="E102" t="s">
        <v>580</v>
      </c>
      <c r="F102">
        <v>16</v>
      </c>
      <c r="G102" t="s">
        <v>469</v>
      </c>
      <c r="H102" s="46" t="s">
        <v>199</v>
      </c>
      <c r="I102">
        <v>0.10714285714285714</v>
      </c>
      <c r="J102">
        <v>1</v>
      </c>
      <c r="K102" t="s">
        <v>454</v>
      </c>
      <c r="L102">
        <v>65</v>
      </c>
      <c r="M102">
        <v>1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2:24" x14ac:dyDescent="0.3">
      <c r="B103" t="s">
        <v>72</v>
      </c>
      <c r="C103" t="s">
        <v>142</v>
      </c>
      <c r="D103">
        <v>0</v>
      </c>
      <c r="E103" t="s">
        <v>199</v>
      </c>
      <c r="F103">
        <v>144</v>
      </c>
      <c r="G103" t="s">
        <v>472</v>
      </c>
      <c r="H103" s="46" t="s">
        <v>199</v>
      </c>
      <c r="I103">
        <v>3</v>
      </c>
      <c r="J103">
        <v>0</v>
      </c>
      <c r="K103" t="s">
        <v>625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2:24" x14ac:dyDescent="0.3">
      <c r="B104" t="s">
        <v>232</v>
      </c>
      <c r="C104" t="s">
        <v>166</v>
      </c>
      <c r="D104">
        <v>0</v>
      </c>
      <c r="E104" t="s">
        <v>199</v>
      </c>
      <c r="F104">
        <v>154</v>
      </c>
      <c r="G104" t="s">
        <v>448</v>
      </c>
      <c r="H104" s="46" t="s">
        <v>199</v>
      </c>
      <c r="I104">
        <v>1.6666666666666667</v>
      </c>
      <c r="J104">
        <v>0</v>
      </c>
      <c r="K104" t="s">
        <v>468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2:24" x14ac:dyDescent="0.3">
      <c r="B105" t="s">
        <v>62</v>
      </c>
      <c r="C105" t="s">
        <v>137</v>
      </c>
      <c r="D105">
        <v>23843917228000</v>
      </c>
      <c r="E105" t="s">
        <v>447</v>
      </c>
      <c r="F105">
        <v>154</v>
      </c>
      <c r="G105" t="s">
        <v>448</v>
      </c>
      <c r="H105" s="46" t="s">
        <v>199</v>
      </c>
      <c r="I105">
        <v>3.2</v>
      </c>
      <c r="J105">
        <v>0</v>
      </c>
      <c r="K105" t="s">
        <v>625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0</v>
      </c>
      <c r="W105">
        <v>0</v>
      </c>
      <c r="X105">
        <v>0</v>
      </c>
    </row>
    <row r="106" spans="2:24" x14ac:dyDescent="0.3">
      <c r="B106" t="s">
        <v>626</v>
      </c>
      <c r="C106" t="s">
        <v>599</v>
      </c>
      <c r="D106">
        <v>0</v>
      </c>
      <c r="E106" t="s">
        <v>199</v>
      </c>
      <c r="F106">
        <v>17</v>
      </c>
      <c r="G106" t="s">
        <v>687</v>
      </c>
      <c r="H106" s="46" t="s">
        <v>199</v>
      </c>
      <c r="I106">
        <v>0.10714285714285714</v>
      </c>
      <c r="J106">
        <v>1</v>
      </c>
      <c r="K106" t="s">
        <v>454</v>
      </c>
      <c r="L106">
        <v>65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2:24" x14ac:dyDescent="0.3">
      <c r="B107" t="s">
        <v>58</v>
      </c>
      <c r="C107" t="s">
        <v>135</v>
      </c>
      <c r="D107">
        <v>0</v>
      </c>
      <c r="E107" t="s">
        <v>199</v>
      </c>
      <c r="F107">
        <v>16</v>
      </c>
      <c r="G107" t="s">
        <v>469</v>
      </c>
      <c r="H107" s="46" t="s">
        <v>199</v>
      </c>
      <c r="I107">
        <v>5</v>
      </c>
      <c r="J107">
        <v>0</v>
      </c>
      <c r="K107" t="s">
        <v>468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2:24" x14ac:dyDescent="0.3">
      <c r="B108" t="s">
        <v>634</v>
      </c>
      <c r="C108" t="s">
        <v>597</v>
      </c>
      <c r="D108">
        <v>23843917228000</v>
      </c>
      <c r="E108" t="s">
        <v>447</v>
      </c>
      <c r="F108">
        <v>154</v>
      </c>
      <c r="G108" t="s">
        <v>448</v>
      </c>
      <c r="H108" s="46" t="s">
        <v>199</v>
      </c>
      <c r="I108">
        <v>0.10714285714285714</v>
      </c>
      <c r="J108">
        <v>1</v>
      </c>
      <c r="K108" t="s">
        <v>454</v>
      </c>
      <c r="L108">
        <v>84</v>
      </c>
      <c r="M108">
        <v>4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2:24" x14ac:dyDescent="0.3">
      <c r="B109" t="s">
        <v>113</v>
      </c>
      <c r="C109" t="s">
        <v>161</v>
      </c>
      <c r="D109">
        <v>23843917228000</v>
      </c>
      <c r="E109" t="s">
        <v>447</v>
      </c>
      <c r="F109">
        <v>154</v>
      </c>
      <c r="G109" t="s">
        <v>448</v>
      </c>
      <c r="H109" s="46" t="s">
        <v>199</v>
      </c>
      <c r="I109">
        <v>7.1428571428571425E-2</v>
      </c>
      <c r="J109">
        <v>2</v>
      </c>
      <c r="K109" t="s">
        <v>451</v>
      </c>
      <c r="L109">
        <v>210</v>
      </c>
      <c r="M109">
        <v>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2:24" x14ac:dyDescent="0.3">
      <c r="B110" t="s">
        <v>106</v>
      </c>
      <c r="C110" t="s">
        <v>159</v>
      </c>
      <c r="D110">
        <v>0</v>
      </c>
      <c r="E110" t="s">
        <v>199</v>
      </c>
      <c r="F110">
        <v>7</v>
      </c>
      <c r="G110" t="s">
        <v>459</v>
      </c>
      <c r="H110" s="46" t="s">
        <v>199</v>
      </c>
      <c r="I110">
        <v>1</v>
      </c>
      <c r="J110">
        <v>0</v>
      </c>
      <c r="K110" t="s">
        <v>468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2:24" x14ac:dyDescent="0.3">
      <c r="B111" t="s">
        <v>628</v>
      </c>
      <c r="C111" t="s">
        <v>594</v>
      </c>
      <c r="D111">
        <v>0</v>
      </c>
      <c r="E111" t="s">
        <v>199</v>
      </c>
      <c r="F111">
        <v>2</v>
      </c>
      <c r="G111" t="s">
        <v>444</v>
      </c>
      <c r="H111" s="46" t="s">
        <v>199</v>
      </c>
      <c r="I111">
        <v>0.61538461538461542</v>
      </c>
      <c r="J111">
        <v>0</v>
      </c>
      <c r="K111" t="s">
        <v>625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2:24" x14ac:dyDescent="0.3">
      <c r="B112" t="s">
        <v>72</v>
      </c>
      <c r="C112" t="s">
        <v>142</v>
      </c>
      <c r="D112">
        <v>0</v>
      </c>
      <c r="E112" t="s">
        <v>199</v>
      </c>
      <c r="F112">
        <v>148</v>
      </c>
      <c r="G112" t="s">
        <v>441</v>
      </c>
      <c r="H112" s="46" t="s">
        <v>199</v>
      </c>
      <c r="I112">
        <v>3</v>
      </c>
      <c r="J112">
        <v>0</v>
      </c>
      <c r="K112" t="s">
        <v>625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2:24" x14ac:dyDescent="0.3">
      <c r="B113" t="s">
        <v>631</v>
      </c>
      <c r="C113" t="s">
        <v>577</v>
      </c>
      <c r="D113">
        <v>0</v>
      </c>
      <c r="E113" t="s">
        <v>199</v>
      </c>
      <c r="F113">
        <v>180</v>
      </c>
      <c r="G113" t="s">
        <v>683</v>
      </c>
      <c r="H113" s="46" t="s">
        <v>199</v>
      </c>
      <c r="I113">
        <v>0.47368421052631576</v>
      </c>
      <c r="J113">
        <v>0</v>
      </c>
      <c r="K113" t="s">
        <v>675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2:24" x14ac:dyDescent="0.3">
      <c r="B114" t="s">
        <v>626</v>
      </c>
      <c r="C114" t="s">
        <v>599</v>
      </c>
      <c r="D114">
        <v>0</v>
      </c>
      <c r="E114" t="s">
        <v>199</v>
      </c>
      <c r="F114">
        <v>147</v>
      </c>
      <c r="G114" t="s">
        <v>685</v>
      </c>
      <c r="H114" s="46" t="s">
        <v>199</v>
      </c>
      <c r="I114">
        <v>0.10714285714285714</v>
      </c>
      <c r="J114">
        <v>1</v>
      </c>
      <c r="K114" t="s">
        <v>454</v>
      </c>
      <c r="L114">
        <v>65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2:24" x14ac:dyDescent="0.3">
      <c r="B115" t="s">
        <v>117</v>
      </c>
      <c r="C115" t="s">
        <v>163</v>
      </c>
      <c r="D115">
        <v>0</v>
      </c>
      <c r="E115" t="s">
        <v>199</v>
      </c>
      <c r="F115">
        <v>170</v>
      </c>
      <c r="G115" t="s">
        <v>471</v>
      </c>
      <c r="H115" s="46" t="s">
        <v>199</v>
      </c>
      <c r="I115">
        <v>0.25</v>
      </c>
      <c r="J115">
        <v>1</v>
      </c>
      <c r="K115" t="s">
        <v>454</v>
      </c>
      <c r="L115">
        <v>72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2:24" x14ac:dyDescent="0.3">
      <c r="B116" t="s">
        <v>457</v>
      </c>
      <c r="C116" t="s">
        <v>179</v>
      </c>
      <c r="D116">
        <v>1020000241710000</v>
      </c>
      <c r="E116" t="s">
        <v>453</v>
      </c>
      <c r="F116">
        <v>154</v>
      </c>
      <c r="G116" t="s">
        <v>448</v>
      </c>
      <c r="H116" s="46" t="s">
        <v>199</v>
      </c>
      <c r="I116">
        <v>0</v>
      </c>
      <c r="J116">
        <v>121</v>
      </c>
      <c r="K116" t="s">
        <v>693</v>
      </c>
      <c r="L116">
        <v>0</v>
      </c>
      <c r="M116">
        <v>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2:24" x14ac:dyDescent="0.3">
      <c r="B117" t="s">
        <v>244</v>
      </c>
      <c r="C117" t="s">
        <v>172</v>
      </c>
      <c r="D117">
        <v>22294782253000</v>
      </c>
      <c r="E117" t="s">
        <v>622</v>
      </c>
      <c r="F117">
        <v>12</v>
      </c>
      <c r="G117" t="s">
        <v>549</v>
      </c>
      <c r="H117" s="46" t="s">
        <v>199</v>
      </c>
      <c r="I117">
        <v>0.17857142857142858</v>
      </c>
      <c r="J117">
        <v>4</v>
      </c>
      <c r="K117" t="s">
        <v>442</v>
      </c>
      <c r="L117">
        <v>5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2:24" x14ac:dyDescent="0.3">
      <c r="B118" t="s">
        <v>86</v>
      </c>
      <c r="C118" t="s">
        <v>152</v>
      </c>
      <c r="D118">
        <v>0</v>
      </c>
      <c r="E118" t="s">
        <v>199</v>
      </c>
      <c r="F118">
        <v>154</v>
      </c>
      <c r="G118" t="s">
        <v>448</v>
      </c>
      <c r="H118" s="46" t="s">
        <v>199</v>
      </c>
      <c r="I118">
        <v>0.41176470588235292</v>
      </c>
      <c r="J118">
        <v>0</v>
      </c>
      <c r="K118" t="s">
        <v>632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2:24" x14ac:dyDescent="0.3">
      <c r="B119" t="s">
        <v>72</v>
      </c>
      <c r="C119" t="s">
        <v>142</v>
      </c>
      <c r="D119">
        <v>0</v>
      </c>
      <c r="E119" t="s">
        <v>199</v>
      </c>
      <c r="F119">
        <v>12</v>
      </c>
      <c r="G119" t="s">
        <v>549</v>
      </c>
      <c r="H119" s="46" t="s">
        <v>199</v>
      </c>
      <c r="I119">
        <v>3</v>
      </c>
      <c r="J119">
        <v>0</v>
      </c>
      <c r="K119" t="s">
        <v>625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2:24" x14ac:dyDescent="0.3">
      <c r="B120" t="s">
        <v>115</v>
      </c>
      <c r="C120" t="s">
        <v>162</v>
      </c>
      <c r="D120">
        <v>1020001835468000</v>
      </c>
      <c r="E120" t="s">
        <v>461</v>
      </c>
      <c r="F120">
        <v>152</v>
      </c>
      <c r="G120" t="s">
        <v>688</v>
      </c>
      <c r="H120" s="46" t="s">
        <v>199</v>
      </c>
      <c r="I120">
        <v>0.21428571428571427</v>
      </c>
      <c r="J120">
        <v>9</v>
      </c>
      <c r="K120" t="s">
        <v>442</v>
      </c>
      <c r="L120">
        <v>23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</row>
    <row r="121" spans="2:24" x14ac:dyDescent="0.3">
      <c r="B121" t="s">
        <v>72</v>
      </c>
      <c r="C121" t="s">
        <v>142</v>
      </c>
      <c r="D121">
        <v>0</v>
      </c>
      <c r="E121" t="s">
        <v>199</v>
      </c>
      <c r="F121">
        <v>17</v>
      </c>
      <c r="G121" t="s">
        <v>687</v>
      </c>
      <c r="H121" s="46" t="s">
        <v>199</v>
      </c>
      <c r="I121">
        <v>3</v>
      </c>
      <c r="J121">
        <v>0</v>
      </c>
      <c r="K121" t="s">
        <v>625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2:24" x14ac:dyDescent="0.3">
      <c r="B122" t="s">
        <v>633</v>
      </c>
      <c r="C122" t="s">
        <v>568</v>
      </c>
      <c r="D122">
        <v>0</v>
      </c>
      <c r="E122" t="s">
        <v>199</v>
      </c>
      <c r="F122">
        <v>16</v>
      </c>
      <c r="G122" t="s">
        <v>469</v>
      </c>
      <c r="H122" s="46" t="s">
        <v>199</v>
      </c>
      <c r="I122">
        <v>7.1428571428571425E-2</v>
      </c>
      <c r="J122">
        <v>10</v>
      </c>
      <c r="K122" t="s">
        <v>454</v>
      </c>
      <c r="L122">
        <v>98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2:24" x14ac:dyDescent="0.3">
      <c r="B123" t="s">
        <v>102</v>
      </c>
      <c r="C123" t="s">
        <v>157</v>
      </c>
      <c r="D123">
        <v>23903599483000</v>
      </c>
      <c r="E123" t="s">
        <v>449</v>
      </c>
      <c r="F123">
        <v>2</v>
      </c>
      <c r="G123" t="s">
        <v>444</v>
      </c>
      <c r="H123" s="46" t="s">
        <v>199</v>
      </c>
      <c r="I123">
        <v>0</v>
      </c>
      <c r="J123">
        <v>39</v>
      </c>
      <c r="K123" t="s">
        <v>445</v>
      </c>
      <c r="L123">
        <v>0</v>
      </c>
      <c r="M123">
        <v>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2:24" x14ac:dyDescent="0.3">
      <c r="B124" t="s">
        <v>117</v>
      </c>
      <c r="C124" t="s">
        <v>163</v>
      </c>
      <c r="D124">
        <v>1020000759116000</v>
      </c>
      <c r="E124" t="s">
        <v>456</v>
      </c>
      <c r="F124">
        <v>154</v>
      </c>
      <c r="G124" t="s">
        <v>448</v>
      </c>
      <c r="H124" s="46" t="s">
        <v>199</v>
      </c>
      <c r="I124">
        <v>0.25</v>
      </c>
      <c r="J124">
        <v>1</v>
      </c>
      <c r="K124" t="s">
        <v>454</v>
      </c>
      <c r="L124">
        <v>72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2:24" x14ac:dyDescent="0.3">
      <c r="B125" t="s">
        <v>72</v>
      </c>
      <c r="C125" t="s">
        <v>142</v>
      </c>
      <c r="D125">
        <v>0</v>
      </c>
      <c r="E125" t="s">
        <v>199</v>
      </c>
      <c r="F125">
        <v>147</v>
      </c>
      <c r="G125" t="s">
        <v>685</v>
      </c>
      <c r="H125" s="46" t="s">
        <v>199</v>
      </c>
      <c r="I125">
        <v>3</v>
      </c>
      <c r="J125">
        <v>0</v>
      </c>
      <c r="K125" t="s">
        <v>625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</row>
    <row r="126" spans="2:24" x14ac:dyDescent="0.3">
      <c r="B126" t="s">
        <v>474</v>
      </c>
      <c r="C126" t="s">
        <v>384</v>
      </c>
      <c r="D126">
        <v>0</v>
      </c>
      <c r="E126" t="s">
        <v>199</v>
      </c>
      <c r="F126">
        <v>154</v>
      </c>
      <c r="G126" t="s">
        <v>448</v>
      </c>
      <c r="H126" s="46" t="s">
        <v>199</v>
      </c>
      <c r="I126">
        <v>0.58823529411764708</v>
      </c>
      <c r="J126">
        <v>0</v>
      </c>
      <c r="K126" t="s">
        <v>625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2:24" x14ac:dyDescent="0.3">
      <c r="B127" t="s">
        <v>457</v>
      </c>
      <c r="C127" t="s">
        <v>179</v>
      </c>
      <c r="D127">
        <v>1020001649180000</v>
      </c>
      <c r="E127" t="s">
        <v>458</v>
      </c>
      <c r="F127">
        <v>2</v>
      </c>
      <c r="G127" t="s">
        <v>444</v>
      </c>
      <c r="H127" s="46" t="s">
        <v>199</v>
      </c>
      <c r="I127">
        <v>0</v>
      </c>
      <c r="J127">
        <v>121</v>
      </c>
      <c r="K127" t="s">
        <v>693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2:24" x14ac:dyDescent="0.3">
      <c r="B128" t="s">
        <v>72</v>
      </c>
      <c r="C128" t="s">
        <v>142</v>
      </c>
      <c r="D128">
        <v>0</v>
      </c>
      <c r="E128" t="s">
        <v>199</v>
      </c>
      <c r="F128">
        <v>171</v>
      </c>
      <c r="G128" t="s">
        <v>470</v>
      </c>
      <c r="H128" s="46" t="s">
        <v>199</v>
      </c>
      <c r="I128">
        <v>3</v>
      </c>
      <c r="J128">
        <v>0</v>
      </c>
      <c r="K128" t="s">
        <v>625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2:24" x14ac:dyDescent="0.3">
      <c r="B129" t="s">
        <v>615</v>
      </c>
      <c r="C129" t="s">
        <v>368</v>
      </c>
      <c r="D129">
        <v>1020001025471000</v>
      </c>
      <c r="E129" t="s">
        <v>623</v>
      </c>
      <c r="F129">
        <v>2</v>
      </c>
      <c r="G129" t="s">
        <v>444</v>
      </c>
      <c r="H129" s="46" t="s">
        <v>624</v>
      </c>
      <c r="I129">
        <v>0</v>
      </c>
      <c r="J129">
        <v>56</v>
      </c>
      <c r="K129" t="s">
        <v>445</v>
      </c>
      <c r="L129">
        <v>0</v>
      </c>
      <c r="M129">
        <v>1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2:24" x14ac:dyDescent="0.3">
      <c r="B130" t="s">
        <v>117</v>
      </c>
      <c r="C130" t="s">
        <v>163</v>
      </c>
      <c r="D130">
        <v>23843917228000</v>
      </c>
      <c r="E130" t="s">
        <v>447</v>
      </c>
      <c r="F130">
        <v>154</v>
      </c>
      <c r="G130" t="s">
        <v>448</v>
      </c>
      <c r="H130" s="46" t="s">
        <v>199</v>
      </c>
      <c r="I130">
        <v>0.25</v>
      </c>
      <c r="J130">
        <v>1</v>
      </c>
      <c r="K130" t="s">
        <v>454</v>
      </c>
      <c r="L130">
        <v>72</v>
      </c>
      <c r="M130">
        <v>6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2:24" x14ac:dyDescent="0.3">
      <c r="B131" t="s">
        <v>634</v>
      </c>
      <c r="C131" t="s">
        <v>597</v>
      </c>
      <c r="D131">
        <v>0</v>
      </c>
      <c r="E131" t="s">
        <v>199</v>
      </c>
      <c r="F131">
        <v>151</v>
      </c>
      <c r="G131" t="s">
        <v>684</v>
      </c>
      <c r="H131" s="46" t="s">
        <v>199</v>
      </c>
      <c r="I131">
        <v>0.10714285714285714</v>
      </c>
      <c r="J131">
        <v>1</v>
      </c>
      <c r="K131" t="s">
        <v>454</v>
      </c>
      <c r="L131">
        <v>84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2:24" x14ac:dyDescent="0.3">
      <c r="B132" t="s">
        <v>52</v>
      </c>
      <c r="C132" t="s">
        <v>131</v>
      </c>
      <c r="D132">
        <v>0</v>
      </c>
      <c r="E132" t="s">
        <v>199</v>
      </c>
      <c r="F132">
        <v>17</v>
      </c>
      <c r="G132" t="s">
        <v>687</v>
      </c>
      <c r="H132" s="46" t="s">
        <v>199</v>
      </c>
      <c r="I132">
        <v>1.5294117647058822</v>
      </c>
      <c r="J132">
        <v>0</v>
      </c>
      <c r="K132" t="s">
        <v>468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2:24" x14ac:dyDescent="0.3">
      <c r="B133" t="s">
        <v>70</v>
      </c>
      <c r="C133" t="s">
        <v>141</v>
      </c>
      <c r="D133">
        <v>0</v>
      </c>
      <c r="E133" t="s">
        <v>199</v>
      </c>
      <c r="F133">
        <v>17</v>
      </c>
      <c r="G133" t="s">
        <v>687</v>
      </c>
      <c r="H133" s="46" t="s">
        <v>199</v>
      </c>
      <c r="I133">
        <v>2.7777777777777777</v>
      </c>
      <c r="J133">
        <v>0</v>
      </c>
      <c r="K133" t="s">
        <v>632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2:24" x14ac:dyDescent="0.3">
      <c r="B134" t="s">
        <v>86</v>
      </c>
      <c r="C134" t="s">
        <v>152</v>
      </c>
      <c r="D134">
        <v>0</v>
      </c>
      <c r="E134" t="s">
        <v>199</v>
      </c>
      <c r="F134">
        <v>180</v>
      </c>
      <c r="G134" t="s">
        <v>683</v>
      </c>
      <c r="H134" s="46" t="s">
        <v>199</v>
      </c>
      <c r="I134">
        <v>0.41176470588235292</v>
      </c>
      <c r="J134">
        <v>0</v>
      </c>
      <c r="K134" t="s">
        <v>632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2:24" x14ac:dyDescent="0.3">
      <c r="B135" t="s">
        <v>408</v>
      </c>
      <c r="C135" t="s">
        <v>176</v>
      </c>
      <c r="D135">
        <v>0</v>
      </c>
      <c r="E135" t="s">
        <v>199</v>
      </c>
      <c r="F135">
        <v>12</v>
      </c>
      <c r="G135" t="s">
        <v>549</v>
      </c>
      <c r="H135" s="46" t="s">
        <v>199</v>
      </c>
      <c r="I135">
        <v>0.3636363636363637</v>
      </c>
      <c r="J135">
        <v>0</v>
      </c>
      <c r="K135" t="s">
        <v>468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2:24" x14ac:dyDescent="0.3">
      <c r="B136" t="s">
        <v>102</v>
      </c>
      <c r="C136" t="s">
        <v>157</v>
      </c>
      <c r="D136">
        <v>23902289166000</v>
      </c>
      <c r="E136" t="s">
        <v>450</v>
      </c>
      <c r="F136">
        <v>154</v>
      </c>
      <c r="G136" t="s">
        <v>448</v>
      </c>
      <c r="H136" s="46" t="s">
        <v>199</v>
      </c>
      <c r="I136">
        <v>0</v>
      </c>
      <c r="J136">
        <v>39</v>
      </c>
      <c r="K136" t="s">
        <v>445</v>
      </c>
      <c r="L136">
        <v>0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2:24" x14ac:dyDescent="0.3">
      <c r="B137" t="s">
        <v>104</v>
      </c>
      <c r="C137" t="s">
        <v>158</v>
      </c>
      <c r="D137">
        <v>0</v>
      </c>
      <c r="E137" t="s">
        <v>199</v>
      </c>
      <c r="F137">
        <v>144</v>
      </c>
      <c r="G137" t="s">
        <v>472</v>
      </c>
      <c r="H137" s="46" t="s">
        <v>199</v>
      </c>
      <c r="I137">
        <v>7.6923076923076927E-2</v>
      </c>
      <c r="J137">
        <v>0</v>
      </c>
      <c r="K137" t="s">
        <v>468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2:24" x14ac:dyDescent="0.3">
      <c r="B138" t="s">
        <v>631</v>
      </c>
      <c r="C138" t="s">
        <v>577</v>
      </c>
      <c r="D138">
        <v>0</v>
      </c>
      <c r="E138" t="s">
        <v>199</v>
      </c>
      <c r="F138">
        <v>154</v>
      </c>
      <c r="G138" t="s">
        <v>448</v>
      </c>
      <c r="H138" s="46" t="s">
        <v>199</v>
      </c>
      <c r="I138">
        <v>0.47368421052631576</v>
      </c>
      <c r="J138">
        <v>0</v>
      </c>
      <c r="K138" t="s">
        <v>675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2:24" x14ac:dyDescent="0.3">
      <c r="B139" t="s">
        <v>474</v>
      </c>
      <c r="C139" t="s">
        <v>384</v>
      </c>
      <c r="D139">
        <v>0</v>
      </c>
      <c r="E139" t="s">
        <v>199</v>
      </c>
      <c r="F139">
        <v>149</v>
      </c>
      <c r="G139" t="s">
        <v>455</v>
      </c>
      <c r="H139" s="46" t="s">
        <v>199</v>
      </c>
      <c r="I139">
        <v>0.58823529411764708</v>
      </c>
      <c r="J139">
        <v>0</v>
      </c>
      <c r="K139" t="s">
        <v>625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2:24" x14ac:dyDescent="0.3">
      <c r="B140" t="s">
        <v>633</v>
      </c>
      <c r="C140" t="s">
        <v>568</v>
      </c>
      <c r="D140">
        <v>1020000759116000</v>
      </c>
      <c r="E140" t="s">
        <v>456</v>
      </c>
      <c r="F140">
        <v>154</v>
      </c>
      <c r="G140" t="s">
        <v>448</v>
      </c>
      <c r="H140" s="46" t="s">
        <v>199</v>
      </c>
      <c r="I140">
        <v>7.1428571428571425E-2</v>
      </c>
      <c r="J140">
        <v>10</v>
      </c>
      <c r="K140" t="s">
        <v>454</v>
      </c>
      <c r="L140">
        <v>98</v>
      </c>
      <c r="M140">
        <v>1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2:24" x14ac:dyDescent="0.3">
      <c r="B141" t="s">
        <v>244</v>
      </c>
      <c r="C141" t="s">
        <v>172</v>
      </c>
      <c r="D141">
        <v>0</v>
      </c>
      <c r="E141" t="s">
        <v>199</v>
      </c>
      <c r="F141">
        <v>176</v>
      </c>
      <c r="G141" t="s">
        <v>690</v>
      </c>
      <c r="H141" s="46" t="s">
        <v>199</v>
      </c>
      <c r="I141">
        <v>0.17857142857142858</v>
      </c>
      <c r="J141">
        <v>4</v>
      </c>
      <c r="K141" t="s">
        <v>442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2:24" x14ac:dyDescent="0.3">
      <c r="B142" t="s">
        <v>115</v>
      </c>
      <c r="C142" t="s">
        <v>162</v>
      </c>
      <c r="D142">
        <v>0</v>
      </c>
      <c r="E142" t="s">
        <v>199</v>
      </c>
      <c r="F142">
        <v>176</v>
      </c>
      <c r="G142" t="s">
        <v>690</v>
      </c>
      <c r="H142" s="46" t="s">
        <v>199</v>
      </c>
      <c r="I142">
        <v>0.21428571428571427</v>
      </c>
      <c r="J142">
        <v>9</v>
      </c>
      <c r="K142" t="s">
        <v>442</v>
      </c>
      <c r="L142">
        <v>23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2:24" x14ac:dyDescent="0.3">
      <c r="B143" t="s">
        <v>457</v>
      </c>
      <c r="C143" t="s">
        <v>179</v>
      </c>
      <c r="D143">
        <v>1020001836200000</v>
      </c>
      <c r="E143" t="s">
        <v>463</v>
      </c>
      <c r="F143">
        <v>179</v>
      </c>
      <c r="G143" t="s">
        <v>686</v>
      </c>
      <c r="H143" s="46" t="s">
        <v>199</v>
      </c>
      <c r="I143">
        <v>0</v>
      </c>
      <c r="J143">
        <v>121</v>
      </c>
      <c r="K143" t="s">
        <v>693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2:24" x14ac:dyDescent="0.3">
      <c r="B144" t="s">
        <v>70</v>
      </c>
      <c r="C144" t="s">
        <v>141</v>
      </c>
      <c r="D144">
        <v>0</v>
      </c>
      <c r="E144" t="s">
        <v>199</v>
      </c>
      <c r="F144">
        <v>147</v>
      </c>
      <c r="G144" t="s">
        <v>685</v>
      </c>
      <c r="H144" s="46" t="s">
        <v>199</v>
      </c>
      <c r="I144">
        <v>2.7777777777777777</v>
      </c>
      <c r="J144">
        <v>0</v>
      </c>
      <c r="K144" t="s">
        <v>632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2:24" x14ac:dyDescent="0.3">
      <c r="B145" t="s">
        <v>58</v>
      </c>
      <c r="C145" t="s">
        <v>135</v>
      </c>
      <c r="D145">
        <v>1020000115166000</v>
      </c>
      <c r="E145" t="s">
        <v>462</v>
      </c>
      <c r="F145">
        <v>154</v>
      </c>
      <c r="G145" t="s">
        <v>448</v>
      </c>
      <c r="H145" s="46" t="s">
        <v>199</v>
      </c>
      <c r="I145">
        <v>5</v>
      </c>
      <c r="J145">
        <v>0</v>
      </c>
      <c r="K145" t="s">
        <v>468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</row>
    <row r="146" spans="2:24" x14ac:dyDescent="0.3">
      <c r="B146" t="s">
        <v>115</v>
      </c>
      <c r="C146" t="s">
        <v>162</v>
      </c>
      <c r="D146">
        <v>1020000613861000</v>
      </c>
      <c r="E146" t="s">
        <v>443</v>
      </c>
      <c r="F146">
        <v>2</v>
      </c>
      <c r="G146" t="s">
        <v>444</v>
      </c>
      <c r="H146" s="46" t="s">
        <v>199</v>
      </c>
      <c r="I146">
        <v>0.21428571428571427</v>
      </c>
      <c r="J146">
        <v>9</v>
      </c>
      <c r="K146" t="s">
        <v>442</v>
      </c>
      <c r="L146">
        <v>23</v>
      </c>
      <c r="M146">
        <v>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2:24" x14ac:dyDescent="0.3">
      <c r="B147" t="s">
        <v>68</v>
      </c>
      <c r="C147" t="s">
        <v>140</v>
      </c>
      <c r="D147">
        <v>0</v>
      </c>
      <c r="E147" t="s">
        <v>199</v>
      </c>
      <c r="F147">
        <v>2</v>
      </c>
      <c r="G147" t="s">
        <v>444</v>
      </c>
      <c r="H147" s="46" t="s">
        <v>199</v>
      </c>
      <c r="I147">
        <v>0.38461538461538464</v>
      </c>
      <c r="J147">
        <v>0</v>
      </c>
      <c r="K147" t="s">
        <v>468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2:24" x14ac:dyDescent="0.3">
      <c r="B148" t="s">
        <v>50</v>
      </c>
      <c r="C148" t="s">
        <v>132</v>
      </c>
      <c r="D148">
        <v>23128509046000</v>
      </c>
      <c r="E148" t="s">
        <v>464</v>
      </c>
      <c r="F148">
        <v>150</v>
      </c>
      <c r="G148" t="s">
        <v>465</v>
      </c>
      <c r="H148" s="46" t="s">
        <v>199</v>
      </c>
      <c r="I148">
        <v>0.6071428571428571</v>
      </c>
      <c r="J148">
        <v>1</v>
      </c>
      <c r="K148" t="s">
        <v>442</v>
      </c>
      <c r="L148">
        <v>19</v>
      </c>
      <c r="M148">
        <v>5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2:24" x14ac:dyDescent="0.3">
      <c r="B149" t="s">
        <v>52</v>
      </c>
      <c r="C149" t="s">
        <v>131</v>
      </c>
      <c r="D149">
        <v>0</v>
      </c>
      <c r="E149" t="s">
        <v>199</v>
      </c>
      <c r="F149">
        <v>144</v>
      </c>
      <c r="G149" t="s">
        <v>472</v>
      </c>
      <c r="H149" s="46" t="s">
        <v>199</v>
      </c>
      <c r="I149">
        <v>1.5294117647058822</v>
      </c>
      <c r="J149">
        <v>0</v>
      </c>
      <c r="K149" t="s">
        <v>468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2:24" x14ac:dyDescent="0.3">
      <c r="B150" t="s">
        <v>70</v>
      </c>
      <c r="C150" t="s">
        <v>141</v>
      </c>
      <c r="D150">
        <v>0</v>
      </c>
      <c r="E150" t="s">
        <v>199</v>
      </c>
      <c r="F150">
        <v>144</v>
      </c>
      <c r="G150" t="s">
        <v>472</v>
      </c>
      <c r="H150" s="46" t="s">
        <v>199</v>
      </c>
      <c r="I150">
        <v>2.7777777777777777</v>
      </c>
      <c r="J150">
        <v>0</v>
      </c>
      <c r="K150" t="s">
        <v>632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2:24" x14ac:dyDescent="0.3">
      <c r="B151" t="s">
        <v>408</v>
      </c>
      <c r="C151" t="s">
        <v>176</v>
      </c>
      <c r="D151">
        <v>0</v>
      </c>
      <c r="E151" t="s">
        <v>199</v>
      </c>
      <c r="F151">
        <v>147</v>
      </c>
      <c r="G151" t="s">
        <v>685</v>
      </c>
      <c r="H151" s="46" t="s">
        <v>199</v>
      </c>
      <c r="I151">
        <v>0.3636363636363637</v>
      </c>
      <c r="J151">
        <v>0</v>
      </c>
      <c r="K151" t="s">
        <v>468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</row>
    <row r="152" spans="2:24" x14ac:dyDescent="0.3">
      <c r="B152" t="s">
        <v>474</v>
      </c>
      <c r="C152" t="s">
        <v>384</v>
      </c>
      <c r="D152">
        <v>0</v>
      </c>
      <c r="E152" t="s">
        <v>199</v>
      </c>
      <c r="F152">
        <v>153</v>
      </c>
      <c r="G152" t="s">
        <v>460</v>
      </c>
      <c r="H152" s="46" t="s">
        <v>199</v>
      </c>
      <c r="I152">
        <v>0.58823529411764708</v>
      </c>
      <c r="J152">
        <v>0</v>
      </c>
      <c r="K152" t="s">
        <v>625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2:24" x14ac:dyDescent="0.3">
      <c r="B153" t="s">
        <v>52</v>
      </c>
      <c r="C153" t="s">
        <v>131</v>
      </c>
      <c r="D153">
        <v>0</v>
      </c>
      <c r="E153" t="s">
        <v>199</v>
      </c>
      <c r="F153">
        <v>7</v>
      </c>
      <c r="G153" t="s">
        <v>459</v>
      </c>
      <c r="H153" s="46" t="s">
        <v>199</v>
      </c>
      <c r="I153">
        <v>1.5294117647058822</v>
      </c>
      <c r="J153">
        <v>0</v>
      </c>
      <c r="K153" t="s">
        <v>468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2:24" x14ac:dyDescent="0.3">
      <c r="B154" t="s">
        <v>52</v>
      </c>
      <c r="C154" t="s">
        <v>131</v>
      </c>
      <c r="D154">
        <v>0</v>
      </c>
      <c r="E154" t="s">
        <v>199</v>
      </c>
      <c r="F154">
        <v>148</v>
      </c>
      <c r="G154" t="s">
        <v>441</v>
      </c>
      <c r="H154" s="46" t="s">
        <v>199</v>
      </c>
      <c r="I154">
        <v>1.5294117647058822</v>
      </c>
      <c r="J154">
        <v>0</v>
      </c>
      <c r="K154" t="s">
        <v>468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2:24" x14ac:dyDescent="0.3">
      <c r="B155" t="s">
        <v>234</v>
      </c>
      <c r="C155" t="s">
        <v>167</v>
      </c>
      <c r="D155">
        <v>0</v>
      </c>
      <c r="E155" t="s">
        <v>199</v>
      </c>
      <c r="F155">
        <v>154</v>
      </c>
      <c r="G155" t="s">
        <v>448</v>
      </c>
      <c r="H155" s="46" t="s">
        <v>199</v>
      </c>
      <c r="I155">
        <v>0.16</v>
      </c>
      <c r="J155">
        <v>0</v>
      </c>
      <c r="K155" t="s">
        <v>468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2:24" x14ac:dyDescent="0.3">
      <c r="B156" t="s">
        <v>244</v>
      </c>
      <c r="C156" t="s">
        <v>172</v>
      </c>
      <c r="D156">
        <v>0</v>
      </c>
      <c r="E156" t="s">
        <v>199</v>
      </c>
      <c r="F156">
        <v>2</v>
      </c>
      <c r="G156" t="s">
        <v>444</v>
      </c>
      <c r="H156" s="46" t="s">
        <v>199</v>
      </c>
      <c r="I156">
        <v>0.17857142857142858</v>
      </c>
      <c r="J156">
        <v>4</v>
      </c>
      <c r="K156" t="s">
        <v>442</v>
      </c>
      <c r="L156">
        <v>5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</row>
    <row r="157" spans="2:24" x14ac:dyDescent="0.3">
      <c r="B157" t="s">
        <v>230</v>
      </c>
      <c r="C157" t="s">
        <v>165</v>
      </c>
      <c r="D157">
        <v>0</v>
      </c>
      <c r="E157" t="s">
        <v>199</v>
      </c>
      <c r="F157">
        <v>2</v>
      </c>
      <c r="G157" t="s">
        <v>444</v>
      </c>
      <c r="H157" s="46" t="s">
        <v>199</v>
      </c>
      <c r="I157">
        <v>0.23076923076923081</v>
      </c>
      <c r="J157">
        <v>0</v>
      </c>
      <c r="K157" t="s">
        <v>442</v>
      </c>
      <c r="L157">
        <v>4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</row>
    <row r="158" spans="2:24" x14ac:dyDescent="0.3">
      <c r="B158" t="s">
        <v>70</v>
      </c>
      <c r="C158" t="s">
        <v>141</v>
      </c>
      <c r="D158">
        <v>0</v>
      </c>
      <c r="E158" t="s">
        <v>199</v>
      </c>
      <c r="F158">
        <v>12</v>
      </c>
      <c r="G158" t="s">
        <v>549</v>
      </c>
      <c r="H158" s="46" t="s">
        <v>199</v>
      </c>
      <c r="I158">
        <v>2.7777777777777777</v>
      </c>
      <c r="J158">
        <v>0</v>
      </c>
      <c r="K158" t="s">
        <v>632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</row>
    <row r="159" spans="2:24" x14ac:dyDescent="0.3">
      <c r="B159" t="s">
        <v>628</v>
      </c>
      <c r="C159" t="s">
        <v>594</v>
      </c>
      <c r="D159">
        <v>1020001835468000</v>
      </c>
      <c r="E159" t="s">
        <v>461</v>
      </c>
      <c r="F159">
        <v>152</v>
      </c>
      <c r="G159" t="s">
        <v>688</v>
      </c>
      <c r="H159" s="46" t="s">
        <v>199</v>
      </c>
      <c r="I159">
        <v>0.61538461538461542</v>
      </c>
      <c r="J159">
        <v>0</v>
      </c>
      <c r="K159" t="s">
        <v>625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</row>
    <row r="160" spans="2:24" x14ac:dyDescent="0.3">
      <c r="B160" t="s">
        <v>72</v>
      </c>
      <c r="C160" t="s">
        <v>142</v>
      </c>
      <c r="D160">
        <v>0</v>
      </c>
      <c r="E160" t="s">
        <v>199</v>
      </c>
      <c r="F160">
        <v>149</v>
      </c>
      <c r="G160" t="s">
        <v>455</v>
      </c>
      <c r="H160" s="46" t="s">
        <v>199</v>
      </c>
      <c r="I160">
        <v>3</v>
      </c>
      <c r="J160">
        <v>0</v>
      </c>
      <c r="K160" t="s">
        <v>625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2:24" x14ac:dyDescent="0.3">
      <c r="B161" t="s">
        <v>626</v>
      </c>
      <c r="C161" t="s">
        <v>599</v>
      </c>
      <c r="D161">
        <v>0</v>
      </c>
      <c r="E161" t="s">
        <v>199</v>
      </c>
      <c r="F161">
        <v>153</v>
      </c>
      <c r="G161" t="s">
        <v>460</v>
      </c>
      <c r="H161" s="46" t="s">
        <v>199</v>
      </c>
      <c r="I161">
        <v>0.10714285714285714</v>
      </c>
      <c r="J161">
        <v>1</v>
      </c>
      <c r="K161" t="s">
        <v>454</v>
      </c>
      <c r="L161">
        <v>65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2:24" x14ac:dyDescent="0.3">
      <c r="B162" t="s">
        <v>631</v>
      </c>
      <c r="C162" t="s">
        <v>577</v>
      </c>
      <c r="D162">
        <v>0</v>
      </c>
      <c r="E162" t="s">
        <v>199</v>
      </c>
      <c r="F162">
        <v>147</v>
      </c>
      <c r="G162" t="s">
        <v>685</v>
      </c>
      <c r="H162" s="46" t="s">
        <v>199</v>
      </c>
      <c r="I162">
        <v>0.47368421052631576</v>
      </c>
      <c r="J162">
        <v>0</v>
      </c>
      <c r="K162" t="s">
        <v>675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</row>
    <row r="163" spans="2:24" x14ac:dyDescent="0.3">
      <c r="B163" t="s">
        <v>62</v>
      </c>
      <c r="C163" t="s">
        <v>137</v>
      </c>
      <c r="D163">
        <v>0</v>
      </c>
      <c r="E163" t="s">
        <v>199</v>
      </c>
      <c r="F163">
        <v>109</v>
      </c>
      <c r="G163" t="s">
        <v>613</v>
      </c>
      <c r="H163" s="46" t="s">
        <v>199</v>
      </c>
      <c r="I163">
        <v>3.2</v>
      </c>
      <c r="J163">
        <v>0</v>
      </c>
      <c r="K163" t="s">
        <v>625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2:24" x14ac:dyDescent="0.3">
      <c r="B164" t="s">
        <v>628</v>
      </c>
      <c r="C164" t="s">
        <v>594</v>
      </c>
      <c r="D164">
        <v>1020000759116000</v>
      </c>
      <c r="E164" t="s">
        <v>456</v>
      </c>
      <c r="F164">
        <v>154</v>
      </c>
      <c r="G164" t="s">
        <v>448</v>
      </c>
      <c r="H164" s="46" t="s">
        <v>199</v>
      </c>
      <c r="I164">
        <v>0.61538461538461542</v>
      </c>
      <c r="J164">
        <v>0</v>
      </c>
      <c r="K164" t="s">
        <v>625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</row>
    <row r="165" spans="2:24" x14ac:dyDescent="0.3">
      <c r="B165" t="s">
        <v>446</v>
      </c>
      <c r="C165" t="s">
        <v>373</v>
      </c>
      <c r="D165">
        <v>0</v>
      </c>
      <c r="E165" t="s">
        <v>199</v>
      </c>
      <c r="F165">
        <v>154</v>
      </c>
      <c r="G165" t="s">
        <v>448</v>
      </c>
      <c r="H165" s="46" t="s">
        <v>199</v>
      </c>
      <c r="I165">
        <v>0.05</v>
      </c>
      <c r="J165">
        <v>0</v>
      </c>
      <c r="K165" t="s">
        <v>468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2:24" x14ac:dyDescent="0.3">
      <c r="B166" t="s">
        <v>115</v>
      </c>
      <c r="C166" t="s">
        <v>162</v>
      </c>
      <c r="D166">
        <v>0</v>
      </c>
      <c r="E166" t="s">
        <v>199</v>
      </c>
      <c r="F166">
        <v>16</v>
      </c>
      <c r="G166" t="s">
        <v>469</v>
      </c>
      <c r="H166" s="46" t="s">
        <v>199</v>
      </c>
      <c r="I166">
        <v>0.21428571428571427</v>
      </c>
      <c r="J166">
        <v>9</v>
      </c>
      <c r="K166" t="s">
        <v>442</v>
      </c>
      <c r="L166">
        <v>23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2:24" x14ac:dyDescent="0.3">
      <c r="B167" t="s">
        <v>60</v>
      </c>
      <c r="C167" t="s">
        <v>136</v>
      </c>
      <c r="D167">
        <v>1020001836200000</v>
      </c>
      <c r="E167" t="s">
        <v>463</v>
      </c>
      <c r="F167">
        <v>179</v>
      </c>
      <c r="G167" t="s">
        <v>686</v>
      </c>
      <c r="H167" s="46" t="s">
        <v>199</v>
      </c>
      <c r="I167">
        <v>0.73333333333333328</v>
      </c>
      <c r="J167">
        <v>0</v>
      </c>
      <c r="K167" t="s">
        <v>442</v>
      </c>
      <c r="L167">
        <v>12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2:24" x14ac:dyDescent="0.3">
      <c r="B168" t="s">
        <v>62</v>
      </c>
      <c r="C168" t="s">
        <v>137</v>
      </c>
      <c r="D168">
        <v>0</v>
      </c>
      <c r="E168" t="s">
        <v>199</v>
      </c>
      <c r="F168">
        <v>2</v>
      </c>
      <c r="G168" t="s">
        <v>444</v>
      </c>
      <c r="H168" s="46" t="s">
        <v>199</v>
      </c>
      <c r="I168">
        <v>3.2</v>
      </c>
      <c r="J168">
        <v>0</v>
      </c>
      <c r="K168" t="s">
        <v>625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2:24" x14ac:dyDescent="0.3">
      <c r="B169" t="s">
        <v>58</v>
      </c>
      <c r="C169" t="s">
        <v>135</v>
      </c>
      <c r="D169">
        <v>1020001835468000</v>
      </c>
      <c r="E169" t="s">
        <v>461</v>
      </c>
      <c r="F169">
        <v>152</v>
      </c>
      <c r="G169" t="s">
        <v>688</v>
      </c>
      <c r="H169" s="46" t="s">
        <v>199</v>
      </c>
      <c r="I169">
        <v>5</v>
      </c>
      <c r="J169">
        <v>0</v>
      </c>
      <c r="K169" t="s">
        <v>468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1</v>
      </c>
      <c r="W169">
        <v>0</v>
      </c>
      <c r="X169">
        <v>0</v>
      </c>
    </row>
    <row r="170" spans="2:24" x14ac:dyDescent="0.3">
      <c r="B170" t="s">
        <v>651</v>
      </c>
      <c r="C170" t="s">
        <v>603</v>
      </c>
      <c r="D170">
        <v>23843917228000</v>
      </c>
      <c r="E170" t="s">
        <v>447</v>
      </c>
      <c r="F170">
        <v>154</v>
      </c>
      <c r="G170" t="s">
        <v>448</v>
      </c>
      <c r="H170" s="46" t="s">
        <v>677</v>
      </c>
      <c r="I170">
        <v>0</v>
      </c>
      <c r="J170">
        <v>13</v>
      </c>
      <c r="K170" t="s">
        <v>678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2:24" x14ac:dyDescent="0.3">
      <c r="B171" t="s">
        <v>70</v>
      </c>
      <c r="C171" t="s">
        <v>141</v>
      </c>
      <c r="D171">
        <v>0</v>
      </c>
      <c r="E171" t="s">
        <v>199</v>
      </c>
      <c r="F171">
        <v>154</v>
      </c>
      <c r="G171" t="s">
        <v>448</v>
      </c>
      <c r="H171" s="46" t="s">
        <v>199</v>
      </c>
      <c r="I171">
        <v>2.7777777777777777</v>
      </c>
      <c r="J171">
        <v>0</v>
      </c>
      <c r="K171" t="s">
        <v>632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2:24" x14ac:dyDescent="0.3">
      <c r="B172" t="s">
        <v>633</v>
      </c>
      <c r="C172" t="s">
        <v>568</v>
      </c>
      <c r="D172">
        <v>1020001853819000</v>
      </c>
      <c r="E172" t="s">
        <v>452</v>
      </c>
      <c r="F172">
        <v>180</v>
      </c>
      <c r="G172" t="s">
        <v>683</v>
      </c>
      <c r="H172" s="46" t="s">
        <v>199</v>
      </c>
      <c r="I172">
        <v>7.1428571428571425E-2</v>
      </c>
      <c r="J172">
        <v>10</v>
      </c>
      <c r="K172" t="s">
        <v>454</v>
      </c>
      <c r="L172">
        <v>98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2:24" x14ac:dyDescent="0.3">
      <c r="B173" t="s">
        <v>52</v>
      </c>
      <c r="C173" t="s">
        <v>131</v>
      </c>
      <c r="D173">
        <v>0</v>
      </c>
      <c r="E173" t="s">
        <v>199</v>
      </c>
      <c r="F173">
        <v>154</v>
      </c>
      <c r="G173" t="s">
        <v>448</v>
      </c>
      <c r="H173" s="46" t="s">
        <v>199</v>
      </c>
      <c r="I173">
        <v>1.5294117647058822</v>
      </c>
      <c r="J173">
        <v>0</v>
      </c>
      <c r="K173" t="s">
        <v>468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2:24" x14ac:dyDescent="0.3">
      <c r="B174" t="s">
        <v>630</v>
      </c>
      <c r="C174" t="s">
        <v>569</v>
      </c>
      <c r="D174">
        <v>1020001649180000</v>
      </c>
      <c r="E174" t="s">
        <v>458</v>
      </c>
      <c r="F174">
        <v>2</v>
      </c>
      <c r="G174" t="s">
        <v>444</v>
      </c>
      <c r="H174" s="46" t="s">
        <v>199</v>
      </c>
      <c r="I174">
        <v>0.17857142857142858</v>
      </c>
      <c r="J174">
        <v>14</v>
      </c>
      <c r="K174" t="s">
        <v>442</v>
      </c>
      <c r="L174">
        <v>22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2:24" x14ac:dyDescent="0.3">
      <c r="B175" t="s">
        <v>628</v>
      </c>
      <c r="C175" t="s">
        <v>594</v>
      </c>
      <c r="D175">
        <v>0</v>
      </c>
      <c r="E175" t="s">
        <v>199</v>
      </c>
      <c r="F175">
        <v>151</v>
      </c>
      <c r="G175" t="s">
        <v>684</v>
      </c>
      <c r="H175" s="46" t="s">
        <v>199</v>
      </c>
      <c r="I175">
        <v>0.61538461538461542</v>
      </c>
      <c r="J175">
        <v>0</v>
      </c>
      <c r="K175" t="s">
        <v>625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2:24" x14ac:dyDescent="0.3">
      <c r="B176" t="s">
        <v>72</v>
      </c>
      <c r="C176" t="s">
        <v>142</v>
      </c>
      <c r="D176">
        <v>0</v>
      </c>
      <c r="E176" t="s">
        <v>199</v>
      </c>
      <c r="F176">
        <v>180</v>
      </c>
      <c r="G176" t="s">
        <v>683</v>
      </c>
      <c r="H176" s="46" t="s">
        <v>199</v>
      </c>
      <c r="I176">
        <v>3</v>
      </c>
      <c r="J176">
        <v>0</v>
      </c>
      <c r="K176" t="s">
        <v>625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2:24" x14ac:dyDescent="0.3">
      <c r="B177" t="s">
        <v>62</v>
      </c>
      <c r="C177" t="s">
        <v>137</v>
      </c>
      <c r="D177">
        <v>0</v>
      </c>
      <c r="E177" t="s">
        <v>199</v>
      </c>
      <c r="F177">
        <v>176</v>
      </c>
      <c r="G177" t="s">
        <v>690</v>
      </c>
      <c r="H177" s="46" t="s">
        <v>199</v>
      </c>
      <c r="I177">
        <v>3.2</v>
      </c>
      <c r="J177">
        <v>0</v>
      </c>
      <c r="K177" t="s">
        <v>625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2:24" x14ac:dyDescent="0.3">
      <c r="B178" t="s">
        <v>113</v>
      </c>
      <c r="C178" t="s">
        <v>161</v>
      </c>
      <c r="D178">
        <v>1020000613861000</v>
      </c>
      <c r="E178" t="s">
        <v>443</v>
      </c>
      <c r="F178">
        <v>2</v>
      </c>
      <c r="G178" t="s">
        <v>444</v>
      </c>
      <c r="H178" s="46" t="s">
        <v>199</v>
      </c>
      <c r="I178">
        <v>7.1428571428571425E-2</v>
      </c>
      <c r="J178">
        <v>2</v>
      </c>
      <c r="K178" t="s">
        <v>451</v>
      </c>
      <c r="L178">
        <v>210</v>
      </c>
      <c r="M178">
        <v>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2:24" x14ac:dyDescent="0.3">
      <c r="B179" t="s">
        <v>628</v>
      </c>
      <c r="C179" t="s">
        <v>594</v>
      </c>
      <c r="D179">
        <v>0</v>
      </c>
      <c r="E179" t="s">
        <v>199</v>
      </c>
      <c r="F179">
        <v>179</v>
      </c>
      <c r="G179" t="s">
        <v>686</v>
      </c>
      <c r="H179" s="46" t="s">
        <v>199</v>
      </c>
      <c r="I179">
        <v>0.61538461538461542</v>
      </c>
      <c r="J179">
        <v>0</v>
      </c>
      <c r="K179" t="s">
        <v>625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2:24" x14ac:dyDescent="0.3">
      <c r="B180" t="s">
        <v>631</v>
      </c>
      <c r="C180" t="s">
        <v>577</v>
      </c>
      <c r="D180">
        <v>0</v>
      </c>
      <c r="E180" t="s">
        <v>199</v>
      </c>
      <c r="F180">
        <v>144</v>
      </c>
      <c r="G180" t="s">
        <v>472</v>
      </c>
      <c r="H180" s="46" t="s">
        <v>199</v>
      </c>
      <c r="I180">
        <v>0.47368421052631576</v>
      </c>
      <c r="J180">
        <v>0</v>
      </c>
      <c r="K180" t="s">
        <v>675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2:24" x14ac:dyDescent="0.3">
      <c r="B181" t="s">
        <v>593</v>
      </c>
      <c r="C181" t="s">
        <v>592</v>
      </c>
      <c r="D181">
        <v>23843917228000</v>
      </c>
      <c r="E181" t="s">
        <v>447</v>
      </c>
      <c r="F181">
        <v>154</v>
      </c>
      <c r="G181" t="s">
        <v>448</v>
      </c>
      <c r="H181" s="46" t="s">
        <v>677</v>
      </c>
      <c r="I181">
        <v>0</v>
      </c>
      <c r="J181">
        <v>13</v>
      </c>
      <c r="K181" t="s">
        <v>678</v>
      </c>
      <c r="L181">
        <v>0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2:24" x14ac:dyDescent="0.3">
      <c r="B182" t="s">
        <v>633</v>
      </c>
      <c r="C182" t="s">
        <v>568</v>
      </c>
      <c r="D182">
        <v>1020001835468000</v>
      </c>
      <c r="E182" t="s">
        <v>461</v>
      </c>
      <c r="F182">
        <v>152</v>
      </c>
      <c r="G182" t="s">
        <v>688</v>
      </c>
      <c r="H182" s="46" t="s">
        <v>199</v>
      </c>
      <c r="I182">
        <v>7.1428571428571425E-2</v>
      </c>
      <c r="J182">
        <v>10</v>
      </c>
      <c r="K182" t="s">
        <v>454</v>
      </c>
      <c r="L182">
        <v>98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2:24" x14ac:dyDescent="0.3">
      <c r="B183" t="s">
        <v>50</v>
      </c>
      <c r="C183" t="s">
        <v>132</v>
      </c>
      <c r="D183">
        <v>23843917228000</v>
      </c>
      <c r="E183" t="s">
        <v>447</v>
      </c>
      <c r="F183">
        <v>154</v>
      </c>
      <c r="G183" t="s">
        <v>448</v>
      </c>
      <c r="H183" s="46" t="s">
        <v>199</v>
      </c>
      <c r="I183">
        <v>0.6071428571428571</v>
      </c>
      <c r="J183">
        <v>1</v>
      </c>
      <c r="K183" t="s">
        <v>442</v>
      </c>
      <c r="L183">
        <v>19</v>
      </c>
      <c r="M183">
        <v>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2:24" x14ac:dyDescent="0.3">
      <c r="B184" t="s">
        <v>52</v>
      </c>
      <c r="C184" t="s">
        <v>131</v>
      </c>
      <c r="D184">
        <v>0</v>
      </c>
      <c r="E184" t="s">
        <v>199</v>
      </c>
      <c r="F184">
        <v>174</v>
      </c>
      <c r="G184" t="s">
        <v>689</v>
      </c>
      <c r="H184" s="46" t="s">
        <v>199</v>
      </c>
      <c r="I184">
        <v>1.5294117647058822</v>
      </c>
      <c r="J184">
        <v>0</v>
      </c>
      <c r="K184" t="s">
        <v>468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2:24" x14ac:dyDescent="0.3">
      <c r="B185" t="s">
        <v>631</v>
      </c>
      <c r="C185" t="s">
        <v>577</v>
      </c>
      <c r="D185">
        <v>0</v>
      </c>
      <c r="E185" t="s">
        <v>199</v>
      </c>
      <c r="F185">
        <v>7</v>
      </c>
      <c r="G185" t="s">
        <v>459</v>
      </c>
      <c r="H185" s="46" t="s">
        <v>199</v>
      </c>
      <c r="I185">
        <v>0.47368421052631576</v>
      </c>
      <c r="J185">
        <v>0</v>
      </c>
      <c r="K185" t="s">
        <v>675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2:24" x14ac:dyDescent="0.3">
      <c r="B186" t="s">
        <v>234</v>
      </c>
      <c r="C186" t="s">
        <v>167</v>
      </c>
      <c r="D186">
        <v>0</v>
      </c>
      <c r="E186" t="s">
        <v>199</v>
      </c>
      <c r="F186">
        <v>147</v>
      </c>
      <c r="G186" t="s">
        <v>685</v>
      </c>
      <c r="H186" s="46" t="s">
        <v>199</v>
      </c>
      <c r="I186">
        <v>0.16</v>
      </c>
      <c r="J186">
        <v>0</v>
      </c>
      <c r="K186" t="s">
        <v>468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2:24" x14ac:dyDescent="0.3">
      <c r="B187" t="s">
        <v>52</v>
      </c>
      <c r="C187" t="s">
        <v>131</v>
      </c>
      <c r="D187">
        <v>0</v>
      </c>
      <c r="E187" t="s">
        <v>199</v>
      </c>
      <c r="F187">
        <v>180</v>
      </c>
      <c r="G187" t="s">
        <v>683</v>
      </c>
      <c r="H187" s="46" t="s">
        <v>199</v>
      </c>
      <c r="I187">
        <v>1.5294117647058822</v>
      </c>
      <c r="J187">
        <v>0</v>
      </c>
      <c r="K187" t="s">
        <v>468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2:24" x14ac:dyDescent="0.3">
      <c r="B188" t="s">
        <v>70</v>
      </c>
      <c r="C188" t="s">
        <v>141</v>
      </c>
      <c r="D188">
        <v>0</v>
      </c>
      <c r="E188" t="s">
        <v>199</v>
      </c>
      <c r="F188">
        <v>153</v>
      </c>
      <c r="G188" t="s">
        <v>460</v>
      </c>
      <c r="H188" s="46" t="s">
        <v>199</v>
      </c>
      <c r="I188">
        <v>2.7777777777777777</v>
      </c>
      <c r="J188">
        <v>0</v>
      </c>
      <c r="K188" t="s">
        <v>632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2:24" x14ac:dyDescent="0.3">
      <c r="B189" t="s">
        <v>86</v>
      </c>
      <c r="C189" t="s">
        <v>152</v>
      </c>
      <c r="D189">
        <v>0</v>
      </c>
      <c r="E189" t="s">
        <v>199</v>
      </c>
      <c r="F189">
        <v>17</v>
      </c>
      <c r="G189" t="s">
        <v>687</v>
      </c>
      <c r="H189" s="46" t="s">
        <v>199</v>
      </c>
      <c r="I189">
        <v>0.41176470588235292</v>
      </c>
      <c r="J189">
        <v>0</v>
      </c>
      <c r="K189" t="s">
        <v>632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2:24" x14ac:dyDescent="0.3">
      <c r="B190" t="s">
        <v>113</v>
      </c>
      <c r="C190" t="s">
        <v>161</v>
      </c>
      <c r="D190">
        <v>23599177351000</v>
      </c>
      <c r="E190" t="s">
        <v>466</v>
      </c>
      <c r="F190">
        <v>149</v>
      </c>
      <c r="G190" t="s">
        <v>455</v>
      </c>
      <c r="H190" s="46" t="s">
        <v>199</v>
      </c>
      <c r="I190">
        <v>7.1428571428571425E-2</v>
      </c>
      <c r="J190">
        <v>2</v>
      </c>
      <c r="K190" t="s">
        <v>451</v>
      </c>
      <c r="L190">
        <v>210</v>
      </c>
      <c r="M190">
        <v>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2:24" x14ac:dyDescent="0.3">
      <c r="B191" t="s">
        <v>634</v>
      </c>
      <c r="C191" t="s">
        <v>597</v>
      </c>
      <c r="D191">
        <v>1020001853819000</v>
      </c>
      <c r="E191" t="s">
        <v>452</v>
      </c>
      <c r="F191">
        <v>180</v>
      </c>
      <c r="G191" t="s">
        <v>683</v>
      </c>
      <c r="H191" s="46" t="s">
        <v>199</v>
      </c>
      <c r="I191">
        <v>0.10714285714285714</v>
      </c>
      <c r="J191">
        <v>1</v>
      </c>
      <c r="K191" t="s">
        <v>454</v>
      </c>
      <c r="L191">
        <v>84</v>
      </c>
      <c r="M191">
        <v>1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2:24" x14ac:dyDescent="0.3">
      <c r="B192" t="s">
        <v>232</v>
      </c>
      <c r="C192" t="s">
        <v>166</v>
      </c>
      <c r="D192">
        <v>0</v>
      </c>
      <c r="E192" t="s">
        <v>199</v>
      </c>
      <c r="F192">
        <v>171</v>
      </c>
      <c r="G192" t="s">
        <v>470</v>
      </c>
      <c r="H192" s="46" t="s">
        <v>199</v>
      </c>
      <c r="I192">
        <v>1.6666666666666667</v>
      </c>
      <c r="J192">
        <v>0</v>
      </c>
      <c r="K192" t="s">
        <v>468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2:24" x14ac:dyDescent="0.3">
      <c r="B193" t="s">
        <v>113</v>
      </c>
      <c r="C193" t="s">
        <v>161</v>
      </c>
      <c r="D193">
        <v>1020001853819000</v>
      </c>
      <c r="E193" t="s">
        <v>452</v>
      </c>
      <c r="F193">
        <v>180</v>
      </c>
      <c r="G193" t="s">
        <v>683</v>
      </c>
      <c r="H193" s="46" t="s">
        <v>199</v>
      </c>
      <c r="I193">
        <v>7.1428571428571425E-2</v>
      </c>
      <c r="J193">
        <v>2</v>
      </c>
      <c r="K193" t="s">
        <v>451</v>
      </c>
      <c r="L193">
        <v>210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2:24" x14ac:dyDescent="0.3">
      <c r="B194" t="s">
        <v>244</v>
      </c>
      <c r="C194" t="s">
        <v>172</v>
      </c>
      <c r="D194">
        <v>0</v>
      </c>
      <c r="E194" t="s">
        <v>199</v>
      </c>
      <c r="F194">
        <v>170</v>
      </c>
      <c r="G194" t="s">
        <v>471</v>
      </c>
      <c r="H194" s="46" t="s">
        <v>199</v>
      </c>
      <c r="I194">
        <v>0.17857142857142858</v>
      </c>
      <c r="J194">
        <v>4</v>
      </c>
      <c r="K194" t="s">
        <v>442</v>
      </c>
      <c r="L194">
        <v>5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2:24" x14ac:dyDescent="0.3">
      <c r="B195" t="s">
        <v>117</v>
      </c>
      <c r="C195" t="s">
        <v>163</v>
      </c>
      <c r="D195">
        <v>1020001835468000</v>
      </c>
      <c r="E195" t="s">
        <v>461</v>
      </c>
      <c r="F195">
        <v>152</v>
      </c>
      <c r="G195" t="s">
        <v>688</v>
      </c>
      <c r="H195" s="46" t="s">
        <v>199</v>
      </c>
      <c r="I195">
        <v>0.25</v>
      </c>
      <c r="J195">
        <v>1</v>
      </c>
      <c r="K195" t="s">
        <v>454</v>
      </c>
      <c r="L195">
        <v>72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2</v>
      </c>
      <c r="W195">
        <v>0</v>
      </c>
      <c r="X195">
        <v>0</v>
      </c>
    </row>
    <row r="196" spans="2:24" x14ac:dyDescent="0.3">
      <c r="B196" t="s">
        <v>634</v>
      </c>
      <c r="C196" t="s">
        <v>597</v>
      </c>
      <c r="D196">
        <v>1020001835468000</v>
      </c>
      <c r="E196" t="s">
        <v>461</v>
      </c>
      <c r="F196">
        <v>152</v>
      </c>
      <c r="G196" t="s">
        <v>688</v>
      </c>
      <c r="H196" s="46" t="s">
        <v>199</v>
      </c>
      <c r="I196">
        <v>0.10714285714285714</v>
      </c>
      <c r="J196">
        <v>1</v>
      </c>
      <c r="K196" t="s">
        <v>454</v>
      </c>
      <c r="L196">
        <v>84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</row>
    <row r="197" spans="2:24" x14ac:dyDescent="0.3">
      <c r="B197" t="s">
        <v>626</v>
      </c>
      <c r="C197" t="s">
        <v>599</v>
      </c>
      <c r="D197">
        <v>1020001649180000</v>
      </c>
      <c r="E197" t="s">
        <v>458</v>
      </c>
      <c r="F197">
        <v>2</v>
      </c>
      <c r="G197" t="s">
        <v>444</v>
      </c>
      <c r="H197" s="46" t="s">
        <v>199</v>
      </c>
      <c r="I197">
        <v>0.10714285714285714</v>
      </c>
      <c r="J197">
        <v>1</v>
      </c>
      <c r="K197" t="s">
        <v>454</v>
      </c>
      <c r="L197">
        <v>65</v>
      </c>
      <c r="M197">
        <v>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2:24" x14ac:dyDescent="0.3">
      <c r="B198" t="s">
        <v>117</v>
      </c>
      <c r="C198" t="s">
        <v>163</v>
      </c>
      <c r="D198">
        <v>18044494830000</v>
      </c>
      <c r="E198" t="s">
        <v>672</v>
      </c>
      <c r="F198">
        <v>149</v>
      </c>
      <c r="G198" t="s">
        <v>455</v>
      </c>
      <c r="H198" s="46" t="s">
        <v>199</v>
      </c>
      <c r="I198">
        <v>0.25</v>
      </c>
      <c r="J198">
        <v>1</v>
      </c>
      <c r="K198" t="s">
        <v>454</v>
      </c>
      <c r="L198">
        <v>72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2:24" x14ac:dyDescent="0.3">
      <c r="B199" t="s">
        <v>52</v>
      </c>
      <c r="C199" t="s">
        <v>131</v>
      </c>
      <c r="D199">
        <v>0</v>
      </c>
      <c r="E199" t="s">
        <v>199</v>
      </c>
      <c r="F199">
        <v>149</v>
      </c>
      <c r="G199" t="s">
        <v>455</v>
      </c>
      <c r="H199" s="46" t="s">
        <v>199</v>
      </c>
      <c r="I199">
        <v>1.5294117647058822</v>
      </c>
      <c r="J199">
        <v>0</v>
      </c>
      <c r="K199" t="s">
        <v>468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2:24" x14ac:dyDescent="0.3">
      <c r="B200" t="s">
        <v>230</v>
      </c>
      <c r="C200" t="s">
        <v>165</v>
      </c>
      <c r="D200">
        <v>23843917228000</v>
      </c>
      <c r="E200" t="s">
        <v>447</v>
      </c>
      <c r="F200">
        <v>154</v>
      </c>
      <c r="G200" t="s">
        <v>448</v>
      </c>
      <c r="H200" s="46" t="s">
        <v>199</v>
      </c>
      <c r="I200">
        <v>0.23076923076923081</v>
      </c>
      <c r="J200">
        <v>0</v>
      </c>
      <c r="K200" t="s">
        <v>442</v>
      </c>
      <c r="L200">
        <v>4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2:24" x14ac:dyDescent="0.3">
      <c r="B201" t="s">
        <v>634</v>
      </c>
      <c r="C201" t="s">
        <v>597</v>
      </c>
      <c r="D201">
        <v>1020001007805000</v>
      </c>
      <c r="E201" t="s">
        <v>580</v>
      </c>
      <c r="F201">
        <v>16</v>
      </c>
      <c r="G201" t="s">
        <v>469</v>
      </c>
      <c r="H201" s="46" t="s">
        <v>199</v>
      </c>
      <c r="I201">
        <v>0.10714285714285714</v>
      </c>
      <c r="J201">
        <v>1</v>
      </c>
      <c r="K201" t="s">
        <v>454</v>
      </c>
      <c r="L201">
        <v>84</v>
      </c>
      <c r="M201">
        <v>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2:24" x14ac:dyDescent="0.3">
      <c r="B202" t="s">
        <v>68</v>
      </c>
      <c r="C202" t="s">
        <v>140</v>
      </c>
      <c r="D202">
        <v>0</v>
      </c>
      <c r="E202" t="s">
        <v>199</v>
      </c>
      <c r="F202">
        <v>170</v>
      </c>
      <c r="G202" t="s">
        <v>471</v>
      </c>
      <c r="H202" s="46" t="s">
        <v>199</v>
      </c>
      <c r="I202">
        <v>0.38461538461538464</v>
      </c>
      <c r="J202">
        <v>0</v>
      </c>
      <c r="K202" t="s">
        <v>468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2:24" x14ac:dyDescent="0.3">
      <c r="B203" t="s">
        <v>62</v>
      </c>
      <c r="C203" t="s">
        <v>137</v>
      </c>
      <c r="D203">
        <v>1020001835468000</v>
      </c>
      <c r="E203" t="s">
        <v>461</v>
      </c>
      <c r="F203">
        <v>152</v>
      </c>
      <c r="G203" t="s">
        <v>688</v>
      </c>
      <c r="H203" s="46" t="s">
        <v>199</v>
      </c>
      <c r="I203">
        <v>3.2</v>
      </c>
      <c r="J203">
        <v>0</v>
      </c>
      <c r="K203" t="s">
        <v>625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</v>
      </c>
      <c r="W203">
        <v>0</v>
      </c>
      <c r="X203">
        <v>0</v>
      </c>
    </row>
    <row r="204" spans="2:24" x14ac:dyDescent="0.3">
      <c r="B204" t="s">
        <v>58</v>
      </c>
      <c r="C204" t="s">
        <v>135</v>
      </c>
      <c r="D204">
        <v>0</v>
      </c>
      <c r="E204" t="s">
        <v>199</v>
      </c>
      <c r="F204">
        <v>2</v>
      </c>
      <c r="G204" t="s">
        <v>444</v>
      </c>
      <c r="H204" s="46" t="s">
        <v>199</v>
      </c>
      <c r="I204">
        <v>5</v>
      </c>
      <c r="J204">
        <v>0</v>
      </c>
      <c r="K204" t="s">
        <v>468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2:24" x14ac:dyDescent="0.3">
      <c r="B205" t="s">
        <v>244</v>
      </c>
      <c r="C205" t="s">
        <v>172</v>
      </c>
      <c r="D205">
        <v>0</v>
      </c>
      <c r="E205" t="s">
        <v>199</v>
      </c>
      <c r="F205">
        <v>150</v>
      </c>
      <c r="G205" t="s">
        <v>465</v>
      </c>
      <c r="H205" s="46" t="s">
        <v>199</v>
      </c>
      <c r="I205">
        <v>0.17857142857142858</v>
      </c>
      <c r="J205">
        <v>4</v>
      </c>
      <c r="K205" t="s">
        <v>442</v>
      </c>
      <c r="L205">
        <v>5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2:24" x14ac:dyDescent="0.3">
      <c r="B206" t="s">
        <v>628</v>
      </c>
      <c r="C206" t="s">
        <v>594</v>
      </c>
      <c r="D206">
        <v>0</v>
      </c>
      <c r="E206" t="s">
        <v>199</v>
      </c>
      <c r="F206">
        <v>16</v>
      </c>
      <c r="G206" t="s">
        <v>469</v>
      </c>
      <c r="H206" s="46" t="s">
        <v>199</v>
      </c>
      <c r="I206">
        <v>0.61538461538461542</v>
      </c>
      <c r="J206">
        <v>0</v>
      </c>
      <c r="K206" t="s">
        <v>625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2:24" x14ac:dyDescent="0.3">
      <c r="B207" t="s">
        <v>474</v>
      </c>
      <c r="C207" t="s">
        <v>384</v>
      </c>
      <c r="D207">
        <v>0</v>
      </c>
      <c r="E207" t="s">
        <v>199</v>
      </c>
      <c r="F207">
        <v>17</v>
      </c>
      <c r="G207" t="s">
        <v>687</v>
      </c>
      <c r="H207" s="46" t="s">
        <v>199</v>
      </c>
      <c r="I207">
        <v>0.58823529411764708</v>
      </c>
      <c r="J207">
        <v>0</v>
      </c>
      <c r="K207" t="s">
        <v>625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2:24" x14ac:dyDescent="0.3">
      <c r="B208" t="s">
        <v>113</v>
      </c>
      <c r="C208" t="s">
        <v>161</v>
      </c>
      <c r="D208">
        <v>1020001835468000</v>
      </c>
      <c r="E208" t="s">
        <v>461</v>
      </c>
      <c r="F208">
        <v>152</v>
      </c>
      <c r="G208" t="s">
        <v>688</v>
      </c>
      <c r="H208" s="46" t="s">
        <v>199</v>
      </c>
      <c r="I208">
        <v>7.1428571428571425E-2</v>
      </c>
      <c r="J208">
        <v>2</v>
      </c>
      <c r="K208" t="s">
        <v>451</v>
      </c>
      <c r="L208">
        <v>210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0</v>
      </c>
      <c r="X208">
        <v>0</v>
      </c>
    </row>
    <row r="209" spans="2:24" x14ac:dyDescent="0.3">
      <c r="B209" t="s">
        <v>60</v>
      </c>
      <c r="C209" t="s">
        <v>136</v>
      </c>
      <c r="D209">
        <v>1020001649180000</v>
      </c>
      <c r="E209" t="s">
        <v>458</v>
      </c>
      <c r="F209">
        <v>2</v>
      </c>
      <c r="G209" t="s">
        <v>444</v>
      </c>
      <c r="H209" s="46" t="s">
        <v>199</v>
      </c>
      <c r="I209">
        <v>0.73333333333333328</v>
      </c>
      <c r="J209">
        <v>0</v>
      </c>
      <c r="K209" t="s">
        <v>442</v>
      </c>
      <c r="L209">
        <v>12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2:24" x14ac:dyDescent="0.3">
      <c r="B210" t="s">
        <v>52</v>
      </c>
      <c r="C210" t="s">
        <v>131</v>
      </c>
      <c r="D210">
        <v>17717042026000</v>
      </c>
      <c r="E210" t="s">
        <v>671</v>
      </c>
      <c r="F210">
        <v>147</v>
      </c>
      <c r="G210" t="s">
        <v>685</v>
      </c>
      <c r="H210" s="46" t="s">
        <v>199</v>
      </c>
      <c r="I210">
        <v>1.5294117647058822</v>
      </c>
      <c r="J210">
        <v>0</v>
      </c>
      <c r="K210" t="s">
        <v>468</v>
      </c>
      <c r="L210">
        <v>0</v>
      </c>
      <c r="M210">
        <v>0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2:24" x14ac:dyDescent="0.3">
      <c r="B211" t="s">
        <v>86</v>
      </c>
      <c r="C211" t="s">
        <v>152</v>
      </c>
      <c r="D211">
        <v>0</v>
      </c>
      <c r="E211" t="s">
        <v>199</v>
      </c>
      <c r="F211">
        <v>148</v>
      </c>
      <c r="G211" t="s">
        <v>441</v>
      </c>
      <c r="H211" s="46" t="s">
        <v>199</v>
      </c>
      <c r="I211">
        <v>0.41176470588235292</v>
      </c>
      <c r="J211">
        <v>0</v>
      </c>
      <c r="K211" t="s">
        <v>632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2:24" x14ac:dyDescent="0.3">
      <c r="B212" t="s">
        <v>115</v>
      </c>
      <c r="C212" t="s">
        <v>162</v>
      </c>
      <c r="D212">
        <v>1020001351243000</v>
      </c>
      <c r="E212" t="s">
        <v>679</v>
      </c>
      <c r="F212">
        <v>153</v>
      </c>
      <c r="G212" t="s">
        <v>460</v>
      </c>
      <c r="H212" s="46" t="s">
        <v>199</v>
      </c>
      <c r="I212">
        <v>0.21428571428571427</v>
      </c>
      <c r="J212">
        <v>9</v>
      </c>
      <c r="K212" t="s">
        <v>442</v>
      </c>
      <c r="L212">
        <v>23</v>
      </c>
      <c r="M212">
        <v>1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2:24" x14ac:dyDescent="0.3">
      <c r="B213" t="s">
        <v>117</v>
      </c>
      <c r="C213" t="s">
        <v>163</v>
      </c>
      <c r="D213">
        <v>1020001853819000</v>
      </c>
      <c r="E213" t="s">
        <v>452</v>
      </c>
      <c r="F213">
        <v>180</v>
      </c>
      <c r="G213" t="s">
        <v>683</v>
      </c>
      <c r="H213" s="46" t="s">
        <v>199</v>
      </c>
      <c r="I213">
        <v>0.25</v>
      </c>
      <c r="J213">
        <v>1</v>
      </c>
      <c r="K213" t="s">
        <v>454</v>
      </c>
      <c r="L213">
        <v>72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2:24" x14ac:dyDescent="0.3">
      <c r="B214" t="s">
        <v>115</v>
      </c>
      <c r="C214" t="s">
        <v>162</v>
      </c>
      <c r="D214">
        <v>23843917228000</v>
      </c>
      <c r="E214" t="s">
        <v>447</v>
      </c>
      <c r="F214">
        <v>154</v>
      </c>
      <c r="G214" t="s">
        <v>448</v>
      </c>
      <c r="H214" s="46" t="s">
        <v>199</v>
      </c>
      <c r="I214">
        <v>0.21428571428571427</v>
      </c>
      <c r="J214">
        <v>9</v>
      </c>
      <c r="K214" t="s">
        <v>442</v>
      </c>
      <c r="L214">
        <v>23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2:24" x14ac:dyDescent="0.3">
      <c r="B215" t="s">
        <v>72</v>
      </c>
      <c r="C215" t="s">
        <v>142</v>
      </c>
      <c r="D215">
        <v>0</v>
      </c>
      <c r="E215" t="s">
        <v>199</v>
      </c>
      <c r="F215">
        <v>154</v>
      </c>
      <c r="G215" t="s">
        <v>448</v>
      </c>
      <c r="H215" s="46" t="s">
        <v>199</v>
      </c>
      <c r="I215">
        <v>3</v>
      </c>
      <c r="J215">
        <v>0</v>
      </c>
      <c r="K215" t="s">
        <v>625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2:24" x14ac:dyDescent="0.3">
      <c r="B216" t="s">
        <v>76</v>
      </c>
      <c r="C216" t="s">
        <v>147</v>
      </c>
      <c r="D216">
        <v>0</v>
      </c>
      <c r="E216" t="s">
        <v>199</v>
      </c>
      <c r="F216">
        <v>2</v>
      </c>
      <c r="G216" t="s">
        <v>444</v>
      </c>
      <c r="H216" s="46" t="s">
        <v>199</v>
      </c>
      <c r="I216">
        <v>0.33333333333333331</v>
      </c>
      <c r="J216">
        <v>0</v>
      </c>
      <c r="K216" t="s">
        <v>468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2:24" x14ac:dyDescent="0.3">
      <c r="B217" t="s">
        <v>474</v>
      </c>
      <c r="C217" t="s">
        <v>384</v>
      </c>
      <c r="D217">
        <v>0</v>
      </c>
      <c r="E217" t="s">
        <v>199</v>
      </c>
      <c r="F217">
        <v>147</v>
      </c>
      <c r="G217" t="s">
        <v>685</v>
      </c>
      <c r="H217" s="46" t="s">
        <v>199</v>
      </c>
      <c r="I217">
        <v>0.58823529411764708</v>
      </c>
      <c r="J217">
        <v>0</v>
      </c>
      <c r="K217" t="s">
        <v>625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2:24" x14ac:dyDescent="0.3">
      <c r="B218" t="s">
        <v>583</v>
      </c>
      <c r="C218" t="s">
        <v>581</v>
      </c>
      <c r="D218">
        <v>0</v>
      </c>
      <c r="E218" t="s">
        <v>199</v>
      </c>
      <c r="F218">
        <v>7</v>
      </c>
      <c r="G218" t="s">
        <v>459</v>
      </c>
      <c r="H218" s="46" t="s">
        <v>199</v>
      </c>
      <c r="I218">
        <v>0.33333333333333331</v>
      </c>
      <c r="J218">
        <v>0</v>
      </c>
      <c r="K218" t="s">
        <v>468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6A0A-8859-4AF3-B6DE-7781E7EB80C7}">
  <sheetPr codeName="Лист8">
    <tabColor rgb="FFFFFF00"/>
  </sheetPr>
  <dimension ref="A1:BC117"/>
  <sheetViews>
    <sheetView workbookViewId="0">
      <pane xSplit="1" ySplit="1" topLeftCell="AH2" activePane="bottomRight" state="frozen"/>
      <selection pane="topRight" activeCell="B1" sqref="B1"/>
      <selection pane="bottomLeft" activeCell="A2" sqref="A2"/>
      <selection pane="bottomRight" activeCell="BH2" sqref="BH2"/>
    </sheetView>
  </sheetViews>
  <sheetFormatPr defaultRowHeight="14.4" x14ac:dyDescent="0.3"/>
  <cols>
    <col min="1" max="27" width="8.88671875" bestFit="1" customWidth="1"/>
    <col min="28" max="28" width="6" bestFit="1" customWidth="1"/>
    <col min="29" max="40" width="8.88671875" bestFit="1" customWidth="1"/>
    <col min="41" max="52" width="8.88671875" style="3" bestFit="1" customWidth="1"/>
    <col min="53" max="53" width="18.88671875" style="3" bestFit="1" customWidth="1"/>
    <col min="54" max="54" width="18.33203125" style="3" bestFit="1" customWidth="1"/>
    <col min="55" max="55" width="10.6640625" bestFit="1" customWidth="1"/>
    <col min="58" max="58" width="10.6640625" bestFit="1" customWidth="1"/>
  </cols>
  <sheetData>
    <row r="1" spans="1:54" x14ac:dyDescent="0.3">
      <c r="A1" t="s">
        <v>182</v>
      </c>
      <c r="B1" s="27" t="s">
        <v>485</v>
      </c>
      <c r="C1" t="s">
        <v>486</v>
      </c>
      <c r="D1" t="s">
        <v>487</v>
      </c>
      <c r="E1" s="20" t="s">
        <v>488</v>
      </c>
      <c r="F1" s="20" t="s">
        <v>489</v>
      </c>
      <c r="G1" s="20" t="s">
        <v>490</v>
      </c>
      <c r="H1" t="s">
        <v>491</v>
      </c>
      <c r="I1" t="s">
        <v>492</v>
      </c>
      <c r="J1" t="s">
        <v>493</v>
      </c>
      <c r="K1" t="s">
        <v>494</v>
      </c>
      <c r="L1" t="s">
        <v>495</v>
      </c>
      <c r="M1" t="s">
        <v>496</v>
      </c>
      <c r="N1" t="s">
        <v>497</v>
      </c>
      <c r="O1" s="20" t="s">
        <v>498</v>
      </c>
      <c r="P1" t="s">
        <v>499</v>
      </c>
      <c r="Q1" t="s">
        <v>500</v>
      </c>
      <c r="R1" t="s">
        <v>501</v>
      </c>
      <c r="S1" t="s">
        <v>502</v>
      </c>
      <c r="T1" t="s">
        <v>503</v>
      </c>
      <c r="U1" t="s">
        <v>504</v>
      </c>
      <c r="V1" t="s">
        <v>505</v>
      </c>
      <c r="W1" s="20" t="s">
        <v>506</v>
      </c>
      <c r="X1" s="27" t="s">
        <v>507</v>
      </c>
      <c r="Y1" t="s">
        <v>508</v>
      </c>
      <c r="Z1" s="20" t="s">
        <v>509</v>
      </c>
      <c r="AA1" t="s">
        <v>510</v>
      </c>
      <c r="AB1" t="s">
        <v>511</v>
      </c>
      <c r="AC1" t="s">
        <v>512</v>
      </c>
      <c r="AD1" s="47" t="s">
        <v>513</v>
      </c>
      <c r="AE1" t="s">
        <v>514</v>
      </c>
      <c r="AF1" t="s">
        <v>515</v>
      </c>
      <c r="AG1" t="s">
        <v>516</v>
      </c>
      <c r="AH1" t="s">
        <v>517</v>
      </c>
      <c r="AI1" t="s">
        <v>518</v>
      </c>
      <c r="AJ1" t="s">
        <v>519</v>
      </c>
      <c r="AK1" t="s">
        <v>520</v>
      </c>
      <c r="AL1" t="s">
        <v>521</v>
      </c>
      <c r="AM1" t="s">
        <v>522</v>
      </c>
      <c r="AN1" t="s">
        <v>523</v>
      </c>
      <c r="AO1" s="21" t="s">
        <v>527</v>
      </c>
      <c r="AP1" s="21" t="s">
        <v>528</v>
      </c>
      <c r="AQ1" s="21" t="s">
        <v>529</v>
      </c>
      <c r="AR1" s="20" t="s">
        <v>550</v>
      </c>
      <c r="AS1" s="21" t="s">
        <v>531</v>
      </c>
      <c r="AT1" s="21" t="s">
        <v>530</v>
      </c>
      <c r="AU1" s="21" t="s">
        <v>532</v>
      </c>
      <c r="AV1" s="20" t="s">
        <v>533</v>
      </c>
      <c r="AW1" s="20" t="s">
        <v>551</v>
      </c>
      <c r="AX1" s="21" t="s">
        <v>552</v>
      </c>
      <c r="AY1" s="20" t="s">
        <v>553</v>
      </c>
      <c r="AZ1" s="21" t="s">
        <v>554</v>
      </c>
      <c r="BA1"/>
      <c r="BB1"/>
    </row>
    <row r="2" spans="1:54" x14ac:dyDescent="0.3">
      <c r="A2" t="s">
        <v>256</v>
      </c>
      <c r="B2">
        <v>77.900000000000006</v>
      </c>
      <c r="D2">
        <v>0.3</v>
      </c>
      <c r="E2">
        <v>25</v>
      </c>
      <c r="F2">
        <v>246.8</v>
      </c>
      <c r="G2">
        <v>46</v>
      </c>
      <c r="H2">
        <v>46</v>
      </c>
      <c r="I2">
        <v>25</v>
      </c>
      <c r="J2">
        <v>80</v>
      </c>
      <c r="K2">
        <v>80</v>
      </c>
      <c r="L2">
        <v>30</v>
      </c>
      <c r="M2">
        <v>10</v>
      </c>
      <c r="N2">
        <v>80</v>
      </c>
      <c r="O2">
        <v>25</v>
      </c>
      <c r="P2">
        <v>28</v>
      </c>
      <c r="S2" t="b">
        <v>0</v>
      </c>
      <c r="T2" t="b">
        <v>0</v>
      </c>
      <c r="U2" t="s">
        <v>524</v>
      </c>
      <c r="V2">
        <v>4100</v>
      </c>
      <c r="W2">
        <v>4100</v>
      </c>
      <c r="X2">
        <v>0</v>
      </c>
      <c r="Y2">
        <v>0</v>
      </c>
      <c r="Z2">
        <v>4100</v>
      </c>
      <c r="AA2">
        <v>0</v>
      </c>
      <c r="AB2">
        <v>0</v>
      </c>
      <c r="AC2" t="b">
        <v>1</v>
      </c>
      <c r="AD2">
        <v>0</v>
      </c>
      <c r="AE2">
        <v>0</v>
      </c>
      <c r="AF2" t="s">
        <v>524</v>
      </c>
      <c r="AG2">
        <v>0</v>
      </c>
      <c r="AH2">
        <v>0</v>
      </c>
      <c r="AI2" t="s">
        <v>524</v>
      </c>
      <c r="AJ2">
        <v>0</v>
      </c>
      <c r="AK2" t="s">
        <v>525</v>
      </c>
      <c r="AL2">
        <v>0</v>
      </c>
      <c r="AM2" t="s">
        <v>524</v>
      </c>
      <c r="AN2">
        <v>0</v>
      </c>
      <c r="AO2" s="35">
        <v>1025</v>
      </c>
      <c r="AP2" s="35">
        <v>1173.9000000000001</v>
      </c>
      <c r="AQ2" s="35">
        <v>1374.7</v>
      </c>
      <c r="AR2" s="35">
        <v>1274.3000000000002</v>
      </c>
      <c r="AS2" s="35">
        <v>2926.1</v>
      </c>
      <c r="AT2" s="35">
        <v>2725.3</v>
      </c>
      <c r="AU2" s="37">
        <v>66.47</v>
      </c>
      <c r="AV2" s="30">
        <v>71.37</v>
      </c>
      <c r="AW2" s="30">
        <v>0.379</v>
      </c>
      <c r="AX2" s="35">
        <v>0</v>
      </c>
      <c r="AY2" s="30">
        <v>0.27900000000000003</v>
      </c>
      <c r="AZ2" s="35">
        <v>0</v>
      </c>
      <c r="BA2"/>
      <c r="BB2"/>
    </row>
    <row r="3" spans="1:54" x14ac:dyDescent="0.3">
      <c r="A3" t="s">
        <v>260</v>
      </c>
      <c r="B3">
        <v>77.900000000000006</v>
      </c>
      <c r="D3">
        <v>0.3</v>
      </c>
      <c r="E3">
        <v>25</v>
      </c>
      <c r="F3">
        <v>246.8</v>
      </c>
      <c r="G3">
        <v>46</v>
      </c>
      <c r="H3">
        <v>46</v>
      </c>
      <c r="I3">
        <v>25</v>
      </c>
      <c r="J3">
        <v>80</v>
      </c>
      <c r="K3">
        <v>80</v>
      </c>
      <c r="L3">
        <v>30</v>
      </c>
      <c r="M3">
        <v>10</v>
      </c>
      <c r="N3">
        <v>80</v>
      </c>
      <c r="O3">
        <v>25</v>
      </c>
      <c r="P3">
        <v>28</v>
      </c>
      <c r="S3" t="b">
        <v>0</v>
      </c>
      <c r="T3" t="b">
        <v>0</v>
      </c>
      <c r="U3" t="s">
        <v>524</v>
      </c>
      <c r="V3">
        <v>4100</v>
      </c>
      <c r="W3">
        <v>4100</v>
      </c>
      <c r="X3">
        <v>0</v>
      </c>
      <c r="Y3">
        <v>0</v>
      </c>
      <c r="Z3">
        <v>4100</v>
      </c>
      <c r="AA3">
        <v>0</v>
      </c>
      <c r="AB3">
        <v>0</v>
      </c>
      <c r="AC3" t="b">
        <v>1</v>
      </c>
      <c r="AD3">
        <v>0</v>
      </c>
      <c r="AE3">
        <v>0</v>
      </c>
      <c r="AF3" t="s">
        <v>524</v>
      </c>
      <c r="AG3">
        <v>0</v>
      </c>
      <c r="AH3">
        <v>0</v>
      </c>
      <c r="AI3" t="s">
        <v>524</v>
      </c>
      <c r="AJ3">
        <v>0</v>
      </c>
      <c r="AK3" t="s">
        <v>525</v>
      </c>
      <c r="AL3">
        <v>0</v>
      </c>
      <c r="AM3" t="s">
        <v>524</v>
      </c>
      <c r="AN3">
        <v>0</v>
      </c>
      <c r="AO3" s="35">
        <v>1025</v>
      </c>
      <c r="AP3" s="35">
        <v>1173.9000000000001</v>
      </c>
      <c r="AQ3" s="35">
        <v>1374.7</v>
      </c>
      <c r="AR3" s="35">
        <v>1274.3000000000002</v>
      </c>
      <c r="AS3" s="35">
        <v>2926.1</v>
      </c>
      <c r="AT3" s="35">
        <v>2725.3</v>
      </c>
      <c r="AU3" s="37">
        <v>66.47</v>
      </c>
      <c r="AV3" s="30">
        <v>71.37</v>
      </c>
      <c r="AW3" s="30">
        <v>0.379</v>
      </c>
      <c r="AX3" s="35">
        <v>0</v>
      </c>
      <c r="AY3" s="30">
        <v>0.27900000000000003</v>
      </c>
      <c r="AZ3" s="35">
        <v>0</v>
      </c>
      <c r="BA3"/>
      <c r="BB3"/>
    </row>
    <row r="4" spans="1:54" x14ac:dyDescent="0.3">
      <c r="A4" t="s">
        <v>264</v>
      </c>
      <c r="B4">
        <v>96.9</v>
      </c>
      <c r="D4">
        <v>0.3</v>
      </c>
      <c r="E4">
        <v>25</v>
      </c>
      <c r="F4">
        <v>286.8</v>
      </c>
      <c r="G4">
        <v>46</v>
      </c>
      <c r="H4">
        <v>46</v>
      </c>
      <c r="I4">
        <v>25</v>
      </c>
      <c r="J4">
        <v>80</v>
      </c>
      <c r="K4">
        <v>80</v>
      </c>
      <c r="L4">
        <v>30</v>
      </c>
      <c r="M4">
        <v>10</v>
      </c>
      <c r="N4">
        <v>80</v>
      </c>
      <c r="O4">
        <v>25</v>
      </c>
      <c r="P4">
        <v>28</v>
      </c>
      <c r="S4" t="b">
        <v>0</v>
      </c>
      <c r="T4" t="b">
        <v>0</v>
      </c>
      <c r="U4" t="s">
        <v>524</v>
      </c>
      <c r="V4">
        <v>5100</v>
      </c>
      <c r="W4">
        <v>5100</v>
      </c>
      <c r="X4">
        <v>0</v>
      </c>
      <c r="Y4">
        <v>0</v>
      </c>
      <c r="Z4">
        <v>5100</v>
      </c>
      <c r="AA4">
        <v>0</v>
      </c>
      <c r="AB4">
        <v>0</v>
      </c>
      <c r="AC4" t="b">
        <v>1</v>
      </c>
      <c r="AD4">
        <v>0</v>
      </c>
      <c r="AE4">
        <v>0</v>
      </c>
      <c r="AF4" t="s">
        <v>524</v>
      </c>
      <c r="AG4">
        <v>0</v>
      </c>
      <c r="AH4">
        <v>0</v>
      </c>
      <c r="AI4" t="s">
        <v>524</v>
      </c>
      <c r="AJ4">
        <v>0</v>
      </c>
      <c r="AK4" t="s">
        <v>525</v>
      </c>
      <c r="AL4">
        <v>0</v>
      </c>
      <c r="AM4" t="s">
        <v>524</v>
      </c>
      <c r="AN4">
        <v>0</v>
      </c>
      <c r="AO4" s="35">
        <v>1275</v>
      </c>
      <c r="AP4" s="35">
        <v>1442.9</v>
      </c>
      <c r="AQ4" s="35">
        <v>1683.7</v>
      </c>
      <c r="AR4" s="35">
        <v>1563.3000000000002</v>
      </c>
      <c r="AS4" s="35">
        <v>3657.1</v>
      </c>
      <c r="AT4" s="35">
        <v>3416.3</v>
      </c>
      <c r="AU4" s="37">
        <v>66.989999999999995</v>
      </c>
      <c r="AV4" s="30">
        <v>71.709999999999994</v>
      </c>
      <c r="AW4" s="30">
        <v>0.38300000000000001</v>
      </c>
      <c r="AX4" s="35">
        <v>0</v>
      </c>
      <c r="AY4" s="30">
        <v>0.28299999999999997</v>
      </c>
      <c r="AZ4" s="35">
        <v>0</v>
      </c>
      <c r="BA4"/>
      <c r="BB4"/>
    </row>
    <row r="5" spans="1:54" x14ac:dyDescent="0.3">
      <c r="A5" t="s">
        <v>266</v>
      </c>
      <c r="B5">
        <v>77.900000000000006</v>
      </c>
      <c r="D5">
        <v>0.3</v>
      </c>
      <c r="E5">
        <v>25</v>
      </c>
      <c r="F5">
        <v>246.8</v>
      </c>
      <c r="G5">
        <v>46</v>
      </c>
      <c r="H5">
        <v>46</v>
      </c>
      <c r="I5">
        <v>25</v>
      </c>
      <c r="J5">
        <v>80</v>
      </c>
      <c r="K5">
        <v>80</v>
      </c>
      <c r="L5">
        <v>30</v>
      </c>
      <c r="M5">
        <v>10</v>
      </c>
      <c r="N5">
        <v>80</v>
      </c>
      <c r="O5">
        <v>25</v>
      </c>
      <c r="P5">
        <v>28</v>
      </c>
      <c r="S5" t="b">
        <v>0</v>
      </c>
      <c r="T5" t="b">
        <v>0</v>
      </c>
      <c r="U5" t="s">
        <v>524</v>
      </c>
      <c r="V5">
        <v>4100</v>
      </c>
      <c r="W5">
        <v>4100</v>
      </c>
      <c r="X5">
        <v>0</v>
      </c>
      <c r="Y5">
        <v>0</v>
      </c>
      <c r="Z5">
        <v>4100</v>
      </c>
      <c r="AA5">
        <v>0</v>
      </c>
      <c r="AB5">
        <v>0</v>
      </c>
      <c r="AC5" t="b">
        <v>1</v>
      </c>
      <c r="AD5">
        <v>0</v>
      </c>
      <c r="AE5">
        <v>0</v>
      </c>
      <c r="AF5" t="s">
        <v>524</v>
      </c>
      <c r="AG5">
        <v>0</v>
      </c>
      <c r="AH5">
        <v>0</v>
      </c>
      <c r="AI5" t="s">
        <v>524</v>
      </c>
      <c r="AJ5">
        <v>0</v>
      </c>
      <c r="AK5" t="s">
        <v>525</v>
      </c>
      <c r="AL5">
        <v>0</v>
      </c>
      <c r="AM5" t="s">
        <v>524</v>
      </c>
      <c r="AN5">
        <v>0</v>
      </c>
      <c r="AO5" s="35">
        <v>1025</v>
      </c>
      <c r="AP5" s="35">
        <v>1173.9000000000001</v>
      </c>
      <c r="AQ5" s="35">
        <v>1374.7</v>
      </c>
      <c r="AR5" s="35">
        <v>1274.3000000000002</v>
      </c>
      <c r="AS5" s="35">
        <v>2926.1</v>
      </c>
      <c r="AT5" s="35">
        <v>2725.3</v>
      </c>
      <c r="AU5" s="37">
        <v>66.47</v>
      </c>
      <c r="AV5" s="30">
        <v>71.37</v>
      </c>
      <c r="AW5" s="30">
        <v>0.379</v>
      </c>
      <c r="AX5" s="35">
        <v>0</v>
      </c>
      <c r="AY5" s="30">
        <v>0.27900000000000003</v>
      </c>
      <c r="AZ5" s="35">
        <v>0</v>
      </c>
      <c r="BA5"/>
      <c r="BB5"/>
    </row>
    <row r="6" spans="1:54" x14ac:dyDescent="0.3">
      <c r="A6" t="s">
        <v>270</v>
      </c>
      <c r="B6">
        <v>77.900000000000006</v>
      </c>
      <c r="D6">
        <v>0.3</v>
      </c>
      <c r="E6">
        <v>25</v>
      </c>
      <c r="F6">
        <v>246.8</v>
      </c>
      <c r="G6">
        <v>46</v>
      </c>
      <c r="H6">
        <v>46</v>
      </c>
      <c r="I6">
        <v>25</v>
      </c>
      <c r="J6">
        <v>80</v>
      </c>
      <c r="K6">
        <v>80</v>
      </c>
      <c r="L6">
        <v>30</v>
      </c>
      <c r="M6">
        <v>10</v>
      </c>
      <c r="N6">
        <v>80</v>
      </c>
      <c r="O6">
        <v>25</v>
      </c>
      <c r="P6">
        <v>28</v>
      </c>
      <c r="S6" t="b">
        <v>0</v>
      </c>
      <c r="T6" t="b">
        <v>0</v>
      </c>
      <c r="U6" t="s">
        <v>524</v>
      </c>
      <c r="V6">
        <v>4100</v>
      </c>
      <c r="W6">
        <v>4100</v>
      </c>
      <c r="X6">
        <v>0</v>
      </c>
      <c r="Y6">
        <v>0</v>
      </c>
      <c r="Z6">
        <v>4100</v>
      </c>
      <c r="AA6">
        <v>0</v>
      </c>
      <c r="AB6">
        <v>0</v>
      </c>
      <c r="AC6" t="b">
        <v>1</v>
      </c>
      <c r="AD6">
        <v>0</v>
      </c>
      <c r="AE6">
        <v>0</v>
      </c>
      <c r="AF6" t="s">
        <v>524</v>
      </c>
      <c r="AG6">
        <v>0</v>
      </c>
      <c r="AH6">
        <v>0</v>
      </c>
      <c r="AI6" t="s">
        <v>524</v>
      </c>
      <c r="AJ6">
        <v>0</v>
      </c>
      <c r="AK6" t="s">
        <v>525</v>
      </c>
      <c r="AL6">
        <v>0</v>
      </c>
      <c r="AM6" t="s">
        <v>524</v>
      </c>
      <c r="AN6">
        <v>0</v>
      </c>
      <c r="AO6" s="35">
        <v>1025</v>
      </c>
      <c r="AP6" s="35">
        <v>1173.9000000000001</v>
      </c>
      <c r="AQ6" s="35">
        <v>1374.7</v>
      </c>
      <c r="AR6" s="35">
        <v>1274.3000000000002</v>
      </c>
      <c r="AS6" s="35">
        <v>2926.1</v>
      </c>
      <c r="AT6" s="35">
        <v>2725.3</v>
      </c>
      <c r="AU6" s="37">
        <v>66.47</v>
      </c>
      <c r="AV6" s="30">
        <v>71.37</v>
      </c>
      <c r="AW6" s="30">
        <v>0.379</v>
      </c>
      <c r="AX6" s="35">
        <v>0</v>
      </c>
      <c r="AY6" s="30">
        <v>0.27900000000000003</v>
      </c>
      <c r="AZ6" s="35">
        <v>0</v>
      </c>
      <c r="BA6"/>
      <c r="BB6"/>
    </row>
    <row r="7" spans="1:54" x14ac:dyDescent="0.3">
      <c r="A7" t="s">
        <v>254</v>
      </c>
      <c r="B7">
        <v>77.900000000000006</v>
      </c>
      <c r="D7">
        <v>0.3</v>
      </c>
      <c r="E7">
        <v>25</v>
      </c>
      <c r="F7">
        <v>246.8</v>
      </c>
      <c r="G7">
        <v>46</v>
      </c>
      <c r="H7">
        <v>46</v>
      </c>
      <c r="I7">
        <v>25</v>
      </c>
      <c r="J7">
        <v>80</v>
      </c>
      <c r="K7">
        <v>80</v>
      </c>
      <c r="L7">
        <v>30</v>
      </c>
      <c r="M7">
        <v>10</v>
      </c>
      <c r="N7">
        <v>80</v>
      </c>
      <c r="O7">
        <v>25</v>
      </c>
      <c r="P7">
        <v>28</v>
      </c>
      <c r="S7" t="b">
        <v>0</v>
      </c>
      <c r="T7" t="b">
        <v>0</v>
      </c>
      <c r="U7" t="s">
        <v>524</v>
      </c>
      <c r="V7">
        <v>4100</v>
      </c>
      <c r="W7">
        <v>4100</v>
      </c>
      <c r="X7">
        <v>0</v>
      </c>
      <c r="Y7">
        <v>0</v>
      </c>
      <c r="Z7">
        <v>4100</v>
      </c>
      <c r="AA7">
        <v>0</v>
      </c>
      <c r="AB7">
        <v>0</v>
      </c>
      <c r="AC7" t="b">
        <v>1</v>
      </c>
      <c r="AD7">
        <v>0</v>
      </c>
      <c r="AE7">
        <v>0</v>
      </c>
      <c r="AF7" t="s">
        <v>524</v>
      </c>
      <c r="AG7">
        <v>0</v>
      </c>
      <c r="AH7">
        <v>0</v>
      </c>
      <c r="AI7" t="s">
        <v>524</v>
      </c>
      <c r="AJ7">
        <v>0</v>
      </c>
      <c r="AK7" t="s">
        <v>525</v>
      </c>
      <c r="AL7">
        <v>0</v>
      </c>
      <c r="AM7" t="s">
        <v>524</v>
      </c>
      <c r="AN7">
        <v>0</v>
      </c>
      <c r="AO7" s="35">
        <v>1025</v>
      </c>
      <c r="AP7" s="35">
        <v>1173.9000000000001</v>
      </c>
      <c r="AQ7" s="35">
        <v>1374.7</v>
      </c>
      <c r="AR7" s="35">
        <v>1274.3000000000002</v>
      </c>
      <c r="AS7" s="35">
        <v>2926.1</v>
      </c>
      <c r="AT7" s="35">
        <v>2725.3</v>
      </c>
      <c r="AU7" s="37">
        <v>66.47</v>
      </c>
      <c r="AV7" s="30">
        <v>71.37</v>
      </c>
      <c r="AW7" s="30">
        <v>0.379</v>
      </c>
      <c r="AX7" s="35">
        <v>0</v>
      </c>
      <c r="AY7" s="30">
        <v>0.27900000000000003</v>
      </c>
      <c r="AZ7" s="35">
        <v>0</v>
      </c>
      <c r="BA7"/>
      <c r="BB7"/>
    </row>
    <row r="8" spans="1:54" x14ac:dyDescent="0.3">
      <c r="A8" t="s">
        <v>276</v>
      </c>
      <c r="B8">
        <v>14.25</v>
      </c>
      <c r="D8">
        <v>0.1</v>
      </c>
      <c r="E8">
        <v>25</v>
      </c>
      <c r="F8">
        <v>112.8</v>
      </c>
      <c r="G8">
        <v>46</v>
      </c>
      <c r="H8">
        <v>46</v>
      </c>
      <c r="I8">
        <v>25</v>
      </c>
      <c r="J8">
        <v>80</v>
      </c>
      <c r="K8">
        <v>80</v>
      </c>
      <c r="L8">
        <v>30</v>
      </c>
      <c r="M8">
        <v>10</v>
      </c>
      <c r="N8">
        <v>80</v>
      </c>
      <c r="O8">
        <v>27</v>
      </c>
      <c r="P8">
        <v>36</v>
      </c>
      <c r="S8" t="b">
        <v>0</v>
      </c>
      <c r="T8" t="b">
        <v>0</v>
      </c>
      <c r="U8" t="s">
        <v>524</v>
      </c>
      <c r="V8">
        <v>750</v>
      </c>
      <c r="W8">
        <v>750</v>
      </c>
      <c r="X8">
        <v>700</v>
      </c>
      <c r="Y8">
        <v>0</v>
      </c>
      <c r="Z8">
        <v>750</v>
      </c>
      <c r="AA8">
        <v>0</v>
      </c>
      <c r="AB8">
        <v>0</v>
      </c>
      <c r="AC8" t="b">
        <v>1</v>
      </c>
      <c r="AD8">
        <v>0</v>
      </c>
      <c r="AE8">
        <v>0</v>
      </c>
      <c r="AF8" t="s">
        <v>524</v>
      </c>
      <c r="AG8">
        <v>0</v>
      </c>
      <c r="AH8">
        <v>0</v>
      </c>
      <c r="AI8" t="s">
        <v>524</v>
      </c>
      <c r="AJ8">
        <v>0</v>
      </c>
      <c r="AK8" t="s">
        <v>525</v>
      </c>
      <c r="AL8">
        <v>0</v>
      </c>
      <c r="AM8" t="s">
        <v>524</v>
      </c>
      <c r="AN8">
        <v>0</v>
      </c>
      <c r="AO8" s="35">
        <v>202.5</v>
      </c>
      <c r="AP8" s="35">
        <v>287.75</v>
      </c>
      <c r="AQ8" s="35">
        <v>354.55</v>
      </c>
      <c r="AR8" s="35">
        <v>321.14999999999998</v>
      </c>
      <c r="AS8" s="35">
        <v>462.25</v>
      </c>
      <c r="AT8" s="35">
        <v>395.45</v>
      </c>
      <c r="AU8" s="37">
        <v>52.73</v>
      </c>
      <c r="AV8" s="30">
        <v>61.63</v>
      </c>
      <c r="AW8" s="30">
        <v>0.26200000000000001</v>
      </c>
      <c r="AX8" s="35">
        <v>0</v>
      </c>
      <c r="AY8" s="30">
        <v>0.16200000000000001</v>
      </c>
      <c r="AZ8" s="35">
        <v>0</v>
      </c>
      <c r="BA8"/>
      <c r="BB8"/>
    </row>
    <row r="9" spans="1:54" x14ac:dyDescent="0.3">
      <c r="A9" t="s">
        <v>131</v>
      </c>
      <c r="B9">
        <v>69.05</v>
      </c>
      <c r="D9">
        <v>0.3</v>
      </c>
      <c r="E9">
        <v>25</v>
      </c>
      <c r="F9">
        <v>228.16</v>
      </c>
      <c r="G9">
        <v>46</v>
      </c>
      <c r="H9">
        <v>46</v>
      </c>
      <c r="I9">
        <v>25</v>
      </c>
      <c r="J9">
        <v>80</v>
      </c>
      <c r="K9">
        <v>80</v>
      </c>
      <c r="L9">
        <v>30</v>
      </c>
      <c r="M9">
        <v>10</v>
      </c>
      <c r="N9">
        <v>80</v>
      </c>
      <c r="O9">
        <v>25</v>
      </c>
      <c r="P9">
        <v>28</v>
      </c>
      <c r="S9" t="b">
        <v>0</v>
      </c>
      <c r="T9" t="b">
        <v>1</v>
      </c>
      <c r="U9" t="s">
        <v>524</v>
      </c>
      <c r="V9">
        <v>2806</v>
      </c>
      <c r="W9">
        <v>3634</v>
      </c>
      <c r="X9">
        <v>5160</v>
      </c>
      <c r="Y9">
        <v>9646</v>
      </c>
      <c r="Z9">
        <v>6844</v>
      </c>
      <c r="AA9">
        <v>0</v>
      </c>
      <c r="AB9">
        <v>0</v>
      </c>
      <c r="AC9" t="b">
        <v>1</v>
      </c>
      <c r="AD9">
        <v>2099</v>
      </c>
      <c r="AE9">
        <v>2562</v>
      </c>
      <c r="AF9" t="s">
        <v>524</v>
      </c>
      <c r="AG9">
        <v>1</v>
      </c>
      <c r="AH9">
        <v>0</v>
      </c>
      <c r="AI9" t="s">
        <v>524</v>
      </c>
      <c r="AJ9">
        <v>0</v>
      </c>
      <c r="AK9" t="s">
        <v>682</v>
      </c>
      <c r="AL9">
        <v>2562</v>
      </c>
      <c r="AM9" t="s">
        <v>524</v>
      </c>
      <c r="AN9">
        <v>1</v>
      </c>
      <c r="AO9" s="36">
        <v>1711</v>
      </c>
      <c r="AP9" s="36">
        <v>1851.05</v>
      </c>
      <c r="AQ9" s="36">
        <v>2033.21</v>
      </c>
      <c r="AR9" s="35">
        <v>1942.13</v>
      </c>
      <c r="AS9" s="36">
        <v>2893.95</v>
      </c>
      <c r="AT9" s="36">
        <v>2711.79</v>
      </c>
      <c r="AU9" s="38">
        <v>39.619999999999997</v>
      </c>
      <c r="AV9" s="30">
        <v>42.28</v>
      </c>
      <c r="AW9" s="30">
        <v>0.40600000000000003</v>
      </c>
      <c r="AX9" s="35">
        <v>5167.04</v>
      </c>
      <c r="AY9" s="30">
        <v>0.30599999999999999</v>
      </c>
      <c r="AZ9" s="35">
        <v>6854.35</v>
      </c>
      <c r="BA9"/>
      <c r="BB9"/>
    </row>
    <row r="10" spans="1:54" x14ac:dyDescent="0.3">
      <c r="A10" t="s">
        <v>132</v>
      </c>
      <c r="B10">
        <v>64.349999999999994</v>
      </c>
      <c r="D10">
        <v>0.3</v>
      </c>
      <c r="E10">
        <v>25</v>
      </c>
      <c r="F10">
        <v>218.28</v>
      </c>
      <c r="G10">
        <v>46</v>
      </c>
      <c r="H10">
        <v>46</v>
      </c>
      <c r="I10">
        <v>25</v>
      </c>
      <c r="J10">
        <v>80</v>
      </c>
      <c r="K10">
        <v>80</v>
      </c>
      <c r="L10">
        <v>30</v>
      </c>
      <c r="M10">
        <v>10</v>
      </c>
      <c r="N10">
        <v>80</v>
      </c>
      <c r="O10">
        <v>25</v>
      </c>
      <c r="P10">
        <v>28</v>
      </c>
      <c r="Q10" t="s">
        <v>619</v>
      </c>
      <c r="R10" t="s">
        <v>620</v>
      </c>
      <c r="S10" t="b">
        <v>0</v>
      </c>
      <c r="T10" t="b">
        <v>1</v>
      </c>
      <c r="U10" t="s">
        <v>524</v>
      </c>
      <c r="V10">
        <v>2615</v>
      </c>
      <c r="W10">
        <v>3387</v>
      </c>
      <c r="X10">
        <v>5144</v>
      </c>
      <c r="Y10">
        <v>9646</v>
      </c>
      <c r="Z10">
        <v>6816</v>
      </c>
      <c r="AA10">
        <v>0</v>
      </c>
      <c r="AB10">
        <v>0</v>
      </c>
      <c r="AC10" t="b">
        <v>1</v>
      </c>
      <c r="AD10">
        <v>2099</v>
      </c>
      <c r="AE10">
        <v>2562</v>
      </c>
      <c r="AF10" t="s">
        <v>524</v>
      </c>
      <c r="AG10">
        <v>0.94</v>
      </c>
      <c r="AH10">
        <v>3549</v>
      </c>
      <c r="AI10" t="s">
        <v>524</v>
      </c>
      <c r="AJ10">
        <v>0.68</v>
      </c>
      <c r="AK10" t="s">
        <v>653</v>
      </c>
      <c r="AL10">
        <v>2562</v>
      </c>
      <c r="AM10" t="s">
        <v>524</v>
      </c>
      <c r="AN10">
        <v>0.94</v>
      </c>
      <c r="AO10" s="35">
        <v>1704</v>
      </c>
      <c r="AP10" s="35">
        <v>1839.35</v>
      </c>
      <c r="AQ10" s="35">
        <v>2011.6299999999999</v>
      </c>
      <c r="AR10" s="35">
        <v>1925.4899999999998</v>
      </c>
      <c r="AS10" s="35">
        <v>2877.65</v>
      </c>
      <c r="AT10" s="35">
        <v>2705.37</v>
      </c>
      <c r="AU10" s="37">
        <v>39.69</v>
      </c>
      <c r="AV10" s="30">
        <v>42.22</v>
      </c>
      <c r="AW10" s="30">
        <v>0.40799999999999997</v>
      </c>
      <c r="AX10" s="35">
        <v>5150.8599999999997</v>
      </c>
      <c r="AY10" s="30">
        <v>0.308</v>
      </c>
      <c r="AZ10" s="35">
        <v>6825.92</v>
      </c>
      <c r="BA10"/>
      <c r="BB10"/>
    </row>
    <row r="11" spans="1:54" x14ac:dyDescent="0.3">
      <c r="A11" t="s">
        <v>133</v>
      </c>
      <c r="B11">
        <v>19</v>
      </c>
      <c r="D11">
        <v>0.3</v>
      </c>
      <c r="E11">
        <v>25</v>
      </c>
      <c r="F11">
        <v>122.8</v>
      </c>
      <c r="G11">
        <v>46</v>
      </c>
      <c r="H11">
        <v>46</v>
      </c>
      <c r="I11">
        <v>25</v>
      </c>
      <c r="J11">
        <v>80</v>
      </c>
      <c r="K11">
        <v>80</v>
      </c>
      <c r="L11">
        <v>30</v>
      </c>
      <c r="M11">
        <v>10</v>
      </c>
      <c r="N11">
        <v>80</v>
      </c>
      <c r="O11">
        <v>25</v>
      </c>
      <c r="P11">
        <v>28</v>
      </c>
      <c r="S11" t="b">
        <v>0</v>
      </c>
      <c r="T11" t="b">
        <v>0</v>
      </c>
      <c r="U11" t="s">
        <v>524</v>
      </c>
      <c r="V11">
        <v>1000</v>
      </c>
      <c r="W11">
        <v>1000</v>
      </c>
      <c r="X11">
        <v>1000</v>
      </c>
      <c r="Y11">
        <v>0</v>
      </c>
      <c r="Z11">
        <v>1000</v>
      </c>
      <c r="AA11">
        <v>0</v>
      </c>
      <c r="AB11">
        <v>0</v>
      </c>
      <c r="AC11" t="b">
        <v>1</v>
      </c>
      <c r="AD11">
        <v>0</v>
      </c>
      <c r="AE11">
        <v>0</v>
      </c>
      <c r="AF11" t="s">
        <v>524</v>
      </c>
      <c r="AG11">
        <v>0</v>
      </c>
      <c r="AH11">
        <v>0</v>
      </c>
      <c r="AI11" t="s">
        <v>524</v>
      </c>
      <c r="AJ11">
        <v>0</v>
      </c>
      <c r="AK11" t="s">
        <v>525</v>
      </c>
      <c r="AL11">
        <v>0</v>
      </c>
      <c r="AM11" t="s">
        <v>524</v>
      </c>
      <c r="AN11">
        <v>0</v>
      </c>
      <c r="AO11" s="35">
        <v>250</v>
      </c>
      <c r="AP11" s="35">
        <v>340</v>
      </c>
      <c r="AQ11" s="35">
        <v>416.8</v>
      </c>
      <c r="AR11" s="35">
        <v>378.4</v>
      </c>
      <c r="AS11" s="35">
        <v>660</v>
      </c>
      <c r="AT11" s="35">
        <v>583.20000000000005</v>
      </c>
      <c r="AU11" s="37">
        <v>58.32</v>
      </c>
      <c r="AV11" s="30">
        <v>66</v>
      </c>
      <c r="AW11" s="30">
        <v>0.312</v>
      </c>
      <c r="AX11" s="35">
        <v>0</v>
      </c>
      <c r="AY11" s="30">
        <v>0.21199999999999999</v>
      </c>
      <c r="AZ11" s="35">
        <v>0</v>
      </c>
      <c r="BA11"/>
      <c r="BB11"/>
    </row>
    <row r="12" spans="1:54" x14ac:dyDescent="0.3">
      <c r="A12" t="s">
        <v>280</v>
      </c>
      <c r="B12">
        <v>77.900000000000006</v>
      </c>
      <c r="D12">
        <v>0.3</v>
      </c>
      <c r="E12">
        <v>25</v>
      </c>
      <c r="F12">
        <v>246.8</v>
      </c>
      <c r="G12">
        <v>46</v>
      </c>
      <c r="H12">
        <v>46</v>
      </c>
      <c r="I12">
        <v>25</v>
      </c>
      <c r="J12">
        <v>80</v>
      </c>
      <c r="K12">
        <v>80</v>
      </c>
      <c r="L12">
        <v>30</v>
      </c>
      <c r="M12">
        <v>10</v>
      </c>
      <c r="N12">
        <v>80</v>
      </c>
      <c r="O12">
        <v>25</v>
      </c>
      <c r="P12">
        <v>28</v>
      </c>
      <c r="S12" t="b">
        <v>0</v>
      </c>
      <c r="T12" t="b">
        <v>0</v>
      </c>
      <c r="U12" t="s">
        <v>524</v>
      </c>
      <c r="V12">
        <v>4100</v>
      </c>
      <c r="W12">
        <v>4100</v>
      </c>
      <c r="X12">
        <v>0</v>
      </c>
      <c r="Y12">
        <v>0</v>
      </c>
      <c r="Z12">
        <v>4100</v>
      </c>
      <c r="AA12">
        <v>0</v>
      </c>
      <c r="AB12">
        <v>0</v>
      </c>
      <c r="AC12" t="b">
        <v>1</v>
      </c>
      <c r="AD12">
        <v>0</v>
      </c>
      <c r="AE12">
        <v>0</v>
      </c>
      <c r="AF12" t="s">
        <v>524</v>
      </c>
      <c r="AG12">
        <v>0</v>
      </c>
      <c r="AH12">
        <v>0</v>
      </c>
      <c r="AI12" t="s">
        <v>524</v>
      </c>
      <c r="AJ12">
        <v>0</v>
      </c>
      <c r="AK12" t="s">
        <v>525</v>
      </c>
      <c r="AL12">
        <v>0</v>
      </c>
      <c r="AM12" t="s">
        <v>524</v>
      </c>
      <c r="AN12">
        <v>0</v>
      </c>
      <c r="AO12" s="35">
        <v>1025</v>
      </c>
      <c r="AP12" s="35">
        <v>1173.9000000000001</v>
      </c>
      <c r="AQ12" s="35">
        <v>1374.7</v>
      </c>
      <c r="AR12" s="35">
        <v>1274.3000000000002</v>
      </c>
      <c r="AS12" s="35">
        <v>2926.1</v>
      </c>
      <c r="AT12" s="35">
        <v>2725.3</v>
      </c>
      <c r="AU12" s="37">
        <v>66.47</v>
      </c>
      <c r="AV12" s="30">
        <v>71.37</v>
      </c>
      <c r="AW12" s="30">
        <v>0.379</v>
      </c>
      <c r="AX12" s="35">
        <v>0</v>
      </c>
      <c r="AY12" s="30">
        <v>0.27900000000000003</v>
      </c>
      <c r="AZ12" s="35">
        <v>0</v>
      </c>
      <c r="BA12"/>
      <c r="BB12"/>
    </row>
    <row r="13" spans="1:54" x14ac:dyDescent="0.3">
      <c r="A13" t="s">
        <v>282</v>
      </c>
      <c r="B13">
        <v>77.900000000000006</v>
      </c>
      <c r="D13">
        <v>0.3</v>
      </c>
      <c r="E13">
        <v>25</v>
      </c>
      <c r="F13">
        <v>246.8</v>
      </c>
      <c r="G13">
        <v>46</v>
      </c>
      <c r="H13">
        <v>46</v>
      </c>
      <c r="I13">
        <v>25</v>
      </c>
      <c r="J13">
        <v>80</v>
      </c>
      <c r="K13">
        <v>80</v>
      </c>
      <c r="L13">
        <v>30</v>
      </c>
      <c r="M13">
        <v>10</v>
      </c>
      <c r="N13">
        <v>80</v>
      </c>
      <c r="O13">
        <v>25</v>
      </c>
      <c r="P13">
        <v>28</v>
      </c>
      <c r="S13" t="b">
        <v>0</v>
      </c>
      <c r="T13" t="b">
        <v>0</v>
      </c>
      <c r="U13" t="s">
        <v>524</v>
      </c>
      <c r="V13">
        <v>4100</v>
      </c>
      <c r="W13">
        <v>4100</v>
      </c>
      <c r="X13">
        <v>0</v>
      </c>
      <c r="Y13">
        <v>0</v>
      </c>
      <c r="Z13">
        <v>4100</v>
      </c>
      <c r="AA13">
        <v>0</v>
      </c>
      <c r="AB13">
        <v>0</v>
      </c>
      <c r="AC13" t="b">
        <v>1</v>
      </c>
      <c r="AD13">
        <v>0</v>
      </c>
      <c r="AE13">
        <v>0</v>
      </c>
      <c r="AF13" t="s">
        <v>524</v>
      </c>
      <c r="AG13">
        <v>0</v>
      </c>
      <c r="AH13">
        <v>0</v>
      </c>
      <c r="AI13" t="s">
        <v>524</v>
      </c>
      <c r="AJ13">
        <v>0</v>
      </c>
      <c r="AK13" t="s">
        <v>525</v>
      </c>
      <c r="AL13">
        <v>0</v>
      </c>
      <c r="AM13" t="s">
        <v>524</v>
      </c>
      <c r="AN13">
        <v>0</v>
      </c>
      <c r="AO13" s="35">
        <v>1025</v>
      </c>
      <c r="AP13" s="35">
        <v>1173.9000000000001</v>
      </c>
      <c r="AQ13" s="35">
        <v>1374.7</v>
      </c>
      <c r="AR13" s="35">
        <v>1274.3000000000002</v>
      </c>
      <c r="AS13" s="35">
        <v>2926.1</v>
      </c>
      <c r="AT13" s="35">
        <v>2725.3</v>
      </c>
      <c r="AU13" s="37">
        <v>66.47</v>
      </c>
      <c r="AV13" s="30">
        <v>71.37</v>
      </c>
      <c r="AW13" s="30">
        <v>0.379</v>
      </c>
      <c r="AX13" s="35">
        <v>0</v>
      </c>
      <c r="AY13" s="30">
        <v>0.27900000000000003</v>
      </c>
      <c r="AZ13" s="35">
        <v>0</v>
      </c>
      <c r="BA13"/>
      <c r="BB13"/>
    </row>
    <row r="14" spans="1:54" x14ac:dyDescent="0.3">
      <c r="A14" t="s">
        <v>285</v>
      </c>
      <c r="B14">
        <v>88.35</v>
      </c>
      <c r="D14">
        <v>0.3</v>
      </c>
      <c r="E14">
        <v>25</v>
      </c>
      <c r="F14">
        <v>268.8</v>
      </c>
      <c r="G14">
        <v>46</v>
      </c>
      <c r="H14">
        <v>46</v>
      </c>
      <c r="I14">
        <v>25</v>
      </c>
      <c r="J14">
        <v>80</v>
      </c>
      <c r="K14">
        <v>80</v>
      </c>
      <c r="L14">
        <v>30</v>
      </c>
      <c r="M14">
        <v>10</v>
      </c>
      <c r="N14">
        <v>80</v>
      </c>
      <c r="O14">
        <v>25</v>
      </c>
      <c r="P14">
        <v>28</v>
      </c>
      <c r="S14" t="b">
        <v>0</v>
      </c>
      <c r="T14" t="b">
        <v>0</v>
      </c>
      <c r="U14" t="s">
        <v>524</v>
      </c>
      <c r="V14">
        <v>4650</v>
      </c>
      <c r="W14">
        <v>4650</v>
      </c>
      <c r="X14">
        <v>0</v>
      </c>
      <c r="Y14">
        <v>0</v>
      </c>
      <c r="Z14">
        <v>4650</v>
      </c>
      <c r="AA14">
        <v>0</v>
      </c>
      <c r="AB14">
        <v>0</v>
      </c>
      <c r="AC14" t="b">
        <v>1</v>
      </c>
      <c r="AD14">
        <v>0</v>
      </c>
      <c r="AE14">
        <v>0</v>
      </c>
      <c r="AF14" t="s">
        <v>524</v>
      </c>
      <c r="AG14">
        <v>0</v>
      </c>
      <c r="AH14">
        <v>0</v>
      </c>
      <c r="AI14" t="s">
        <v>524</v>
      </c>
      <c r="AJ14">
        <v>0</v>
      </c>
      <c r="AK14" t="s">
        <v>525</v>
      </c>
      <c r="AL14">
        <v>0</v>
      </c>
      <c r="AM14" t="s">
        <v>524</v>
      </c>
      <c r="AN14">
        <v>0</v>
      </c>
      <c r="AO14" s="35">
        <v>1162.5</v>
      </c>
      <c r="AP14" s="35">
        <v>1321.85</v>
      </c>
      <c r="AQ14" s="35">
        <v>1544.6499999999999</v>
      </c>
      <c r="AR14" s="35">
        <v>1433.25</v>
      </c>
      <c r="AS14" s="35">
        <v>3328.15</v>
      </c>
      <c r="AT14" s="35">
        <v>3105.3500000000004</v>
      </c>
      <c r="AU14" s="37">
        <v>66.78</v>
      </c>
      <c r="AV14" s="30">
        <v>71.569999999999993</v>
      </c>
      <c r="AW14" s="30">
        <v>0.38200000000000001</v>
      </c>
      <c r="AX14" s="35">
        <v>0</v>
      </c>
      <c r="AY14" s="30">
        <v>0.28199999999999997</v>
      </c>
      <c r="AZ14" s="35">
        <v>0</v>
      </c>
      <c r="BA14"/>
      <c r="BB14"/>
    </row>
    <row r="15" spans="1:54" x14ac:dyDescent="0.3">
      <c r="A15" t="s">
        <v>287</v>
      </c>
      <c r="B15">
        <v>14.25</v>
      </c>
      <c r="D15">
        <v>0.1</v>
      </c>
      <c r="E15">
        <v>25</v>
      </c>
      <c r="F15">
        <v>112.8</v>
      </c>
      <c r="G15">
        <v>46</v>
      </c>
      <c r="H15">
        <v>46</v>
      </c>
      <c r="I15">
        <v>25</v>
      </c>
      <c r="J15">
        <v>80</v>
      </c>
      <c r="K15">
        <v>80</v>
      </c>
      <c r="L15">
        <v>30</v>
      </c>
      <c r="M15">
        <v>10</v>
      </c>
      <c r="N15">
        <v>80</v>
      </c>
      <c r="O15">
        <v>27</v>
      </c>
      <c r="P15">
        <v>36</v>
      </c>
      <c r="S15" t="b">
        <v>0</v>
      </c>
      <c r="T15" t="b">
        <v>0</v>
      </c>
      <c r="U15" t="s">
        <v>524</v>
      </c>
      <c r="V15">
        <v>750</v>
      </c>
      <c r="W15">
        <v>750</v>
      </c>
      <c r="X15">
        <v>700</v>
      </c>
      <c r="Y15">
        <v>0</v>
      </c>
      <c r="Z15">
        <v>750</v>
      </c>
      <c r="AA15">
        <v>0</v>
      </c>
      <c r="AB15">
        <v>0</v>
      </c>
      <c r="AC15" t="b">
        <v>1</v>
      </c>
      <c r="AD15">
        <v>0</v>
      </c>
      <c r="AE15">
        <v>0</v>
      </c>
      <c r="AF15" t="s">
        <v>524</v>
      </c>
      <c r="AG15">
        <v>0</v>
      </c>
      <c r="AH15">
        <v>0</v>
      </c>
      <c r="AI15" t="s">
        <v>524</v>
      </c>
      <c r="AJ15">
        <v>0</v>
      </c>
      <c r="AK15" t="s">
        <v>525</v>
      </c>
      <c r="AL15">
        <v>0</v>
      </c>
      <c r="AM15" t="s">
        <v>524</v>
      </c>
      <c r="AN15">
        <v>0</v>
      </c>
      <c r="AO15" s="35">
        <v>202.5</v>
      </c>
      <c r="AP15" s="35">
        <v>287.75</v>
      </c>
      <c r="AQ15" s="35">
        <v>354.55</v>
      </c>
      <c r="AR15" s="35">
        <v>321.14999999999998</v>
      </c>
      <c r="AS15" s="35">
        <v>462.25</v>
      </c>
      <c r="AT15" s="35">
        <v>395.45</v>
      </c>
      <c r="AU15" s="37">
        <v>52.73</v>
      </c>
      <c r="AV15" s="30">
        <v>61.63</v>
      </c>
      <c r="AW15" s="30">
        <v>0.26200000000000001</v>
      </c>
      <c r="AX15" s="35">
        <v>0</v>
      </c>
      <c r="AY15" s="30">
        <v>0.16200000000000001</v>
      </c>
      <c r="AZ15" s="35">
        <v>0</v>
      </c>
      <c r="BA15"/>
      <c r="BB15"/>
    </row>
    <row r="16" spans="1:54" x14ac:dyDescent="0.3">
      <c r="A16" t="s">
        <v>291</v>
      </c>
      <c r="B16">
        <v>96.9</v>
      </c>
      <c r="D16">
        <v>0.3</v>
      </c>
      <c r="E16">
        <v>25</v>
      </c>
      <c r="F16">
        <v>286.8</v>
      </c>
      <c r="G16">
        <v>46</v>
      </c>
      <c r="H16">
        <v>46</v>
      </c>
      <c r="I16">
        <v>25</v>
      </c>
      <c r="J16">
        <v>80</v>
      </c>
      <c r="K16">
        <v>80</v>
      </c>
      <c r="L16">
        <v>30</v>
      </c>
      <c r="M16">
        <v>10</v>
      </c>
      <c r="N16">
        <v>80</v>
      </c>
      <c r="O16">
        <v>25</v>
      </c>
      <c r="P16">
        <v>28</v>
      </c>
      <c r="S16" t="b">
        <v>0</v>
      </c>
      <c r="T16" t="b">
        <v>0</v>
      </c>
      <c r="U16" t="s">
        <v>524</v>
      </c>
      <c r="V16">
        <v>5100</v>
      </c>
      <c r="W16">
        <v>5100</v>
      </c>
      <c r="X16">
        <v>0</v>
      </c>
      <c r="Y16">
        <v>0</v>
      </c>
      <c r="Z16">
        <v>5100</v>
      </c>
      <c r="AA16">
        <v>0</v>
      </c>
      <c r="AB16">
        <v>0</v>
      </c>
      <c r="AC16" t="b">
        <v>1</v>
      </c>
      <c r="AD16">
        <v>0</v>
      </c>
      <c r="AE16">
        <v>0</v>
      </c>
      <c r="AF16" t="s">
        <v>524</v>
      </c>
      <c r="AG16">
        <v>0</v>
      </c>
      <c r="AH16">
        <v>0</v>
      </c>
      <c r="AI16" t="s">
        <v>524</v>
      </c>
      <c r="AJ16">
        <v>0</v>
      </c>
      <c r="AK16" t="s">
        <v>525</v>
      </c>
      <c r="AL16">
        <v>0</v>
      </c>
      <c r="AM16" t="s">
        <v>524</v>
      </c>
      <c r="AN16">
        <v>0</v>
      </c>
      <c r="AO16" s="35">
        <v>1275</v>
      </c>
      <c r="AP16" s="35">
        <v>1442.9</v>
      </c>
      <c r="AQ16" s="35">
        <v>1683.7</v>
      </c>
      <c r="AR16" s="35">
        <v>1563.3000000000002</v>
      </c>
      <c r="AS16" s="35">
        <v>3657.1</v>
      </c>
      <c r="AT16" s="35">
        <v>3416.3</v>
      </c>
      <c r="AU16" s="37">
        <v>66.989999999999995</v>
      </c>
      <c r="AV16" s="30">
        <v>71.709999999999994</v>
      </c>
      <c r="AW16" s="30">
        <v>0.38300000000000001</v>
      </c>
      <c r="AX16" s="35">
        <v>0</v>
      </c>
      <c r="AY16" s="30">
        <v>0.28299999999999997</v>
      </c>
      <c r="AZ16" s="35">
        <v>0</v>
      </c>
      <c r="BA16"/>
      <c r="BB16"/>
    </row>
    <row r="17" spans="1:54" x14ac:dyDescent="0.3">
      <c r="A17" t="s">
        <v>293</v>
      </c>
      <c r="B17">
        <v>96.9</v>
      </c>
      <c r="D17">
        <v>0.3</v>
      </c>
      <c r="E17">
        <v>25</v>
      </c>
      <c r="F17">
        <v>286.8</v>
      </c>
      <c r="G17">
        <v>46</v>
      </c>
      <c r="H17">
        <v>46</v>
      </c>
      <c r="I17">
        <v>25</v>
      </c>
      <c r="J17">
        <v>80</v>
      </c>
      <c r="K17">
        <v>80</v>
      </c>
      <c r="L17">
        <v>30</v>
      </c>
      <c r="M17">
        <v>10</v>
      </c>
      <c r="N17">
        <v>80</v>
      </c>
      <c r="O17">
        <v>25</v>
      </c>
      <c r="P17">
        <v>28</v>
      </c>
      <c r="S17" t="b">
        <v>0</v>
      </c>
      <c r="T17" t="b">
        <v>0</v>
      </c>
      <c r="U17" t="s">
        <v>524</v>
      </c>
      <c r="V17">
        <v>5100</v>
      </c>
      <c r="W17">
        <v>5100</v>
      </c>
      <c r="X17">
        <v>0</v>
      </c>
      <c r="Y17">
        <v>0</v>
      </c>
      <c r="Z17">
        <v>5100</v>
      </c>
      <c r="AA17">
        <v>0</v>
      </c>
      <c r="AB17">
        <v>0</v>
      </c>
      <c r="AC17" t="b">
        <v>1</v>
      </c>
      <c r="AD17">
        <v>0</v>
      </c>
      <c r="AE17">
        <v>0</v>
      </c>
      <c r="AF17" t="s">
        <v>524</v>
      </c>
      <c r="AG17">
        <v>0</v>
      </c>
      <c r="AH17">
        <v>0</v>
      </c>
      <c r="AI17" t="s">
        <v>524</v>
      </c>
      <c r="AJ17">
        <v>0</v>
      </c>
      <c r="AK17" t="s">
        <v>525</v>
      </c>
      <c r="AL17">
        <v>0</v>
      </c>
      <c r="AM17" t="s">
        <v>524</v>
      </c>
      <c r="AN17">
        <v>0</v>
      </c>
      <c r="AO17" s="35">
        <v>1275</v>
      </c>
      <c r="AP17" s="35">
        <v>1442.9</v>
      </c>
      <c r="AQ17" s="35">
        <v>1683.7</v>
      </c>
      <c r="AR17" s="35">
        <v>1563.3000000000002</v>
      </c>
      <c r="AS17" s="35">
        <v>3657.1</v>
      </c>
      <c r="AT17" s="35">
        <v>3416.3</v>
      </c>
      <c r="AU17" s="37">
        <v>66.989999999999995</v>
      </c>
      <c r="AV17" s="30">
        <v>71.709999999999994</v>
      </c>
      <c r="AW17" s="30">
        <v>0.38300000000000001</v>
      </c>
      <c r="AX17" s="35">
        <v>0</v>
      </c>
      <c r="AY17" s="30">
        <v>0.28299999999999997</v>
      </c>
      <c r="AZ17" s="35">
        <v>0</v>
      </c>
      <c r="BA17"/>
      <c r="BB17"/>
    </row>
    <row r="18" spans="1:54" x14ac:dyDescent="0.3">
      <c r="A18" t="s">
        <v>255</v>
      </c>
      <c r="B18">
        <v>91.2</v>
      </c>
      <c r="D18">
        <v>0.3</v>
      </c>
      <c r="E18">
        <v>25</v>
      </c>
      <c r="F18">
        <v>274.8</v>
      </c>
      <c r="G18">
        <v>46</v>
      </c>
      <c r="H18">
        <v>46</v>
      </c>
      <c r="I18">
        <v>25</v>
      </c>
      <c r="J18">
        <v>80</v>
      </c>
      <c r="K18">
        <v>80</v>
      </c>
      <c r="L18">
        <v>30</v>
      </c>
      <c r="M18">
        <v>10</v>
      </c>
      <c r="N18">
        <v>80</v>
      </c>
      <c r="O18">
        <v>25</v>
      </c>
      <c r="P18">
        <v>28</v>
      </c>
      <c r="S18" t="b">
        <v>0</v>
      </c>
      <c r="T18" t="b">
        <v>0</v>
      </c>
      <c r="U18" t="s">
        <v>524</v>
      </c>
      <c r="V18">
        <v>4800</v>
      </c>
      <c r="W18">
        <v>4800</v>
      </c>
      <c r="X18">
        <v>0</v>
      </c>
      <c r="Y18">
        <v>0</v>
      </c>
      <c r="Z18">
        <v>4800</v>
      </c>
      <c r="AA18">
        <v>0</v>
      </c>
      <c r="AB18">
        <v>0</v>
      </c>
      <c r="AC18" t="b">
        <v>1</v>
      </c>
      <c r="AD18">
        <v>0</v>
      </c>
      <c r="AE18">
        <v>0</v>
      </c>
      <c r="AF18" t="s">
        <v>524</v>
      </c>
      <c r="AG18">
        <v>0</v>
      </c>
      <c r="AH18">
        <v>0</v>
      </c>
      <c r="AI18" t="s">
        <v>524</v>
      </c>
      <c r="AJ18">
        <v>0</v>
      </c>
      <c r="AK18" t="s">
        <v>525</v>
      </c>
      <c r="AL18">
        <v>0</v>
      </c>
      <c r="AM18" t="s">
        <v>524</v>
      </c>
      <c r="AN18">
        <v>0</v>
      </c>
      <c r="AO18" s="35">
        <v>1200</v>
      </c>
      <c r="AP18" s="35">
        <v>1362.2</v>
      </c>
      <c r="AQ18" s="35">
        <v>1591</v>
      </c>
      <c r="AR18" s="35">
        <v>1476.6</v>
      </c>
      <c r="AS18" s="35">
        <v>3437.8</v>
      </c>
      <c r="AT18" s="35">
        <v>3209</v>
      </c>
      <c r="AU18" s="37">
        <v>66.849999999999994</v>
      </c>
      <c r="AV18" s="30">
        <v>71.62</v>
      </c>
      <c r="AW18" s="30">
        <v>0.38200000000000001</v>
      </c>
      <c r="AX18" s="35">
        <v>0</v>
      </c>
      <c r="AY18" s="30">
        <v>0.28199999999999997</v>
      </c>
      <c r="AZ18" s="35">
        <v>0</v>
      </c>
      <c r="BA18"/>
      <c r="BB18"/>
    </row>
    <row r="19" spans="1:54" x14ac:dyDescent="0.3">
      <c r="A19" t="s">
        <v>296</v>
      </c>
      <c r="B19">
        <v>58.9</v>
      </c>
      <c r="D19">
        <v>0.3</v>
      </c>
      <c r="E19">
        <v>25</v>
      </c>
      <c r="F19">
        <v>206.8</v>
      </c>
      <c r="G19">
        <v>46</v>
      </c>
      <c r="H19">
        <v>46</v>
      </c>
      <c r="I19">
        <v>25</v>
      </c>
      <c r="J19">
        <v>80</v>
      </c>
      <c r="K19">
        <v>80</v>
      </c>
      <c r="L19">
        <v>30</v>
      </c>
      <c r="M19">
        <v>10</v>
      </c>
      <c r="N19">
        <v>80</v>
      </c>
      <c r="O19">
        <v>25</v>
      </c>
      <c r="P19">
        <v>28</v>
      </c>
      <c r="S19" t="b">
        <v>0</v>
      </c>
      <c r="T19" t="b">
        <v>1</v>
      </c>
      <c r="U19" t="s">
        <v>524</v>
      </c>
      <c r="V19">
        <v>3100</v>
      </c>
      <c r="W19">
        <v>3100</v>
      </c>
      <c r="X19">
        <v>3000</v>
      </c>
      <c r="Y19">
        <v>10000</v>
      </c>
      <c r="Z19">
        <v>3100</v>
      </c>
      <c r="AA19">
        <v>0</v>
      </c>
      <c r="AB19">
        <v>0</v>
      </c>
      <c r="AC19" t="b">
        <v>1</v>
      </c>
      <c r="AD19">
        <v>0</v>
      </c>
      <c r="AE19">
        <v>0</v>
      </c>
      <c r="AF19" t="s">
        <v>524</v>
      </c>
      <c r="AG19">
        <v>0</v>
      </c>
      <c r="AH19">
        <v>0</v>
      </c>
      <c r="AI19" t="s">
        <v>524</v>
      </c>
      <c r="AJ19">
        <v>0</v>
      </c>
      <c r="AK19" t="s">
        <v>525</v>
      </c>
      <c r="AL19">
        <v>0</v>
      </c>
      <c r="AM19" t="s">
        <v>524</v>
      </c>
      <c r="AN19">
        <v>0</v>
      </c>
      <c r="AO19" s="35">
        <v>775</v>
      </c>
      <c r="AP19" s="35">
        <v>904.9</v>
      </c>
      <c r="AQ19" s="35">
        <v>1065.7</v>
      </c>
      <c r="AR19" s="35">
        <v>985.3</v>
      </c>
      <c r="AS19" s="35">
        <v>2195.1</v>
      </c>
      <c r="AT19" s="35">
        <v>2034.3</v>
      </c>
      <c r="AU19" s="37">
        <v>65.62</v>
      </c>
      <c r="AV19" s="30">
        <v>70.81</v>
      </c>
      <c r="AW19" s="30">
        <v>0.372</v>
      </c>
      <c r="AX19" s="35">
        <v>0</v>
      </c>
      <c r="AY19" s="30">
        <v>0.27200000000000002</v>
      </c>
      <c r="AZ19" s="35">
        <v>0</v>
      </c>
      <c r="BA19"/>
      <c r="BB19"/>
    </row>
    <row r="20" spans="1:54" x14ac:dyDescent="0.3">
      <c r="A20" t="s">
        <v>300</v>
      </c>
      <c r="B20">
        <v>6.65</v>
      </c>
      <c r="D20">
        <v>3</v>
      </c>
      <c r="E20">
        <v>25</v>
      </c>
      <c r="F20">
        <v>132.80000000000001</v>
      </c>
      <c r="G20">
        <v>66</v>
      </c>
      <c r="H20">
        <v>66</v>
      </c>
      <c r="I20">
        <v>25</v>
      </c>
      <c r="J20">
        <v>116</v>
      </c>
      <c r="K20">
        <v>116</v>
      </c>
      <c r="L20">
        <v>30</v>
      </c>
      <c r="M20">
        <v>10</v>
      </c>
      <c r="N20">
        <v>116</v>
      </c>
      <c r="O20">
        <v>31</v>
      </c>
      <c r="P20">
        <v>38</v>
      </c>
      <c r="S20" t="b">
        <v>0</v>
      </c>
      <c r="T20" t="b">
        <v>0</v>
      </c>
      <c r="U20" t="s">
        <v>524</v>
      </c>
      <c r="V20">
        <v>350</v>
      </c>
      <c r="W20">
        <v>350</v>
      </c>
      <c r="X20">
        <v>0</v>
      </c>
      <c r="Y20">
        <v>750</v>
      </c>
      <c r="Z20">
        <v>350</v>
      </c>
      <c r="AA20">
        <v>0</v>
      </c>
      <c r="AB20">
        <v>0</v>
      </c>
      <c r="AC20" t="b">
        <v>1</v>
      </c>
      <c r="AD20">
        <v>0</v>
      </c>
      <c r="AE20">
        <v>0</v>
      </c>
      <c r="AF20" t="s">
        <v>524</v>
      </c>
      <c r="AG20">
        <v>0</v>
      </c>
      <c r="AH20">
        <v>0</v>
      </c>
      <c r="AI20" t="s">
        <v>524</v>
      </c>
      <c r="AJ20">
        <v>0</v>
      </c>
      <c r="AK20" t="s">
        <v>525</v>
      </c>
      <c r="AL20">
        <v>0</v>
      </c>
      <c r="AM20" t="s">
        <v>524</v>
      </c>
      <c r="AN20">
        <v>0</v>
      </c>
      <c r="AO20" s="35">
        <v>108.5</v>
      </c>
      <c r="AP20" s="35">
        <v>206.15</v>
      </c>
      <c r="AQ20" s="35">
        <v>272.95000000000005</v>
      </c>
      <c r="AR20" s="35">
        <v>239.55</v>
      </c>
      <c r="AS20" s="35">
        <v>143.85</v>
      </c>
      <c r="AT20" s="35">
        <v>77.049999999999955</v>
      </c>
      <c r="AU20" s="37">
        <v>22.01</v>
      </c>
      <c r="AV20" s="30">
        <v>41.1</v>
      </c>
      <c r="AW20" s="30">
        <v>6.0000000000000001E-3</v>
      </c>
      <c r="AX20" s="35">
        <v>0</v>
      </c>
      <c r="AY20" s="30">
        <v>-9.4E-2</v>
      </c>
      <c r="AZ20" s="35">
        <v>0</v>
      </c>
      <c r="BA20"/>
      <c r="BB20"/>
    </row>
    <row r="21" spans="1:54" x14ac:dyDescent="0.3">
      <c r="A21" t="s">
        <v>304</v>
      </c>
      <c r="B21">
        <v>28.5</v>
      </c>
      <c r="D21">
        <v>1.6</v>
      </c>
      <c r="E21">
        <v>25</v>
      </c>
      <c r="F21">
        <v>286.8</v>
      </c>
      <c r="G21">
        <v>126</v>
      </c>
      <c r="H21">
        <v>126</v>
      </c>
      <c r="I21">
        <v>25</v>
      </c>
      <c r="J21">
        <v>208</v>
      </c>
      <c r="K21">
        <v>208</v>
      </c>
      <c r="L21">
        <v>30</v>
      </c>
      <c r="M21">
        <v>10</v>
      </c>
      <c r="N21">
        <v>208</v>
      </c>
      <c r="O21">
        <v>33</v>
      </c>
      <c r="P21">
        <v>35</v>
      </c>
      <c r="S21" t="b">
        <v>0</v>
      </c>
      <c r="T21" t="b">
        <v>0</v>
      </c>
      <c r="U21" t="s">
        <v>524</v>
      </c>
      <c r="V21">
        <v>1500</v>
      </c>
      <c r="W21">
        <v>1500</v>
      </c>
      <c r="X21">
        <v>1500</v>
      </c>
      <c r="Y21">
        <v>4300</v>
      </c>
      <c r="Z21">
        <v>1500</v>
      </c>
      <c r="AA21">
        <v>0</v>
      </c>
      <c r="AB21">
        <v>0</v>
      </c>
      <c r="AC21" t="b">
        <v>1</v>
      </c>
      <c r="AD21">
        <v>0</v>
      </c>
      <c r="AE21">
        <v>0</v>
      </c>
      <c r="AF21" t="s">
        <v>524</v>
      </c>
      <c r="AG21">
        <v>0</v>
      </c>
      <c r="AH21">
        <v>0</v>
      </c>
      <c r="AI21" t="s">
        <v>524</v>
      </c>
      <c r="AJ21">
        <v>0</v>
      </c>
      <c r="AK21" t="s">
        <v>525</v>
      </c>
      <c r="AL21">
        <v>0</v>
      </c>
      <c r="AM21" t="s">
        <v>524</v>
      </c>
      <c r="AN21">
        <v>0</v>
      </c>
      <c r="AO21" s="35">
        <v>495</v>
      </c>
      <c r="AP21" s="35">
        <v>674.5</v>
      </c>
      <c r="AQ21" s="35">
        <v>835.3</v>
      </c>
      <c r="AR21" s="35">
        <v>754.9</v>
      </c>
      <c r="AS21" s="35">
        <v>825.5</v>
      </c>
      <c r="AT21" s="35">
        <v>664.7</v>
      </c>
      <c r="AU21" s="37">
        <v>44.31</v>
      </c>
      <c r="AV21" s="30">
        <v>55.03</v>
      </c>
      <c r="AW21" s="30">
        <v>0.187</v>
      </c>
      <c r="AX21" s="35">
        <v>0</v>
      </c>
      <c r="AY21" s="30">
        <v>8.6999999999999994E-2</v>
      </c>
      <c r="AZ21" s="35">
        <v>0</v>
      </c>
      <c r="BA21"/>
      <c r="BB21"/>
    </row>
    <row r="22" spans="1:54" x14ac:dyDescent="0.3">
      <c r="A22" t="s">
        <v>306</v>
      </c>
      <c r="B22">
        <v>4.66</v>
      </c>
      <c r="D22">
        <v>0.1</v>
      </c>
      <c r="E22">
        <v>25</v>
      </c>
      <c r="F22">
        <v>44</v>
      </c>
      <c r="G22">
        <v>19</v>
      </c>
      <c r="H22">
        <v>19</v>
      </c>
      <c r="I22">
        <v>25</v>
      </c>
      <c r="J22">
        <v>19</v>
      </c>
      <c r="K22">
        <v>19</v>
      </c>
      <c r="L22">
        <v>30</v>
      </c>
      <c r="M22">
        <v>10</v>
      </c>
      <c r="N22">
        <v>19</v>
      </c>
      <c r="O22">
        <v>20</v>
      </c>
      <c r="P22">
        <v>20</v>
      </c>
      <c r="S22" t="b">
        <v>0</v>
      </c>
      <c r="T22" t="b">
        <v>0</v>
      </c>
      <c r="U22" t="s">
        <v>524</v>
      </c>
      <c r="V22">
        <v>245</v>
      </c>
      <c r="W22">
        <v>245</v>
      </c>
      <c r="X22">
        <v>245</v>
      </c>
      <c r="Y22">
        <v>350</v>
      </c>
      <c r="Z22">
        <v>245</v>
      </c>
      <c r="AA22">
        <v>0</v>
      </c>
      <c r="AB22">
        <v>0</v>
      </c>
      <c r="AC22" t="b">
        <v>1</v>
      </c>
      <c r="AD22">
        <v>0</v>
      </c>
      <c r="AE22">
        <v>0</v>
      </c>
      <c r="AF22" t="s">
        <v>524</v>
      </c>
      <c r="AG22">
        <v>0</v>
      </c>
      <c r="AH22">
        <v>0</v>
      </c>
      <c r="AI22" t="s">
        <v>524</v>
      </c>
      <c r="AJ22">
        <v>0</v>
      </c>
      <c r="AK22" t="s">
        <v>525</v>
      </c>
      <c r="AL22">
        <v>0</v>
      </c>
      <c r="AM22" t="s">
        <v>524</v>
      </c>
      <c r="AN22">
        <v>0</v>
      </c>
      <c r="AO22" s="35">
        <v>49</v>
      </c>
      <c r="AP22" s="35">
        <v>97.66</v>
      </c>
      <c r="AQ22" s="35">
        <v>122.66</v>
      </c>
      <c r="AR22" s="35">
        <v>110.16</v>
      </c>
      <c r="AS22" s="35">
        <v>147.34</v>
      </c>
      <c r="AT22" s="35">
        <v>122.34</v>
      </c>
      <c r="AU22" s="37">
        <v>49.93</v>
      </c>
      <c r="AV22" s="30">
        <v>60.14</v>
      </c>
      <c r="AW22" s="30">
        <v>0.24</v>
      </c>
      <c r="AX22" s="35">
        <v>0</v>
      </c>
      <c r="AY22" s="30">
        <v>0.14000000000000001</v>
      </c>
      <c r="AZ22" s="35">
        <v>0</v>
      </c>
      <c r="BA22"/>
      <c r="BB22"/>
    </row>
    <row r="23" spans="1:54" x14ac:dyDescent="0.3">
      <c r="A23" t="s">
        <v>309</v>
      </c>
      <c r="B23">
        <v>77.900000000000006</v>
      </c>
      <c r="D23">
        <v>0.3</v>
      </c>
      <c r="E23">
        <v>25</v>
      </c>
      <c r="F23">
        <v>246.8</v>
      </c>
      <c r="G23">
        <v>46</v>
      </c>
      <c r="H23">
        <v>46</v>
      </c>
      <c r="I23">
        <v>25</v>
      </c>
      <c r="J23">
        <v>80</v>
      </c>
      <c r="K23">
        <v>80</v>
      </c>
      <c r="L23">
        <v>30</v>
      </c>
      <c r="M23">
        <v>10</v>
      </c>
      <c r="N23">
        <v>80</v>
      </c>
      <c r="O23">
        <v>25</v>
      </c>
      <c r="P23">
        <v>28</v>
      </c>
      <c r="S23" t="b">
        <v>0</v>
      </c>
      <c r="T23" t="b">
        <v>0</v>
      </c>
      <c r="U23" t="s">
        <v>524</v>
      </c>
      <c r="V23">
        <v>4100</v>
      </c>
      <c r="W23">
        <v>4100</v>
      </c>
      <c r="X23">
        <v>0</v>
      </c>
      <c r="Y23">
        <v>0</v>
      </c>
      <c r="Z23">
        <v>4100</v>
      </c>
      <c r="AA23">
        <v>0</v>
      </c>
      <c r="AB23">
        <v>0</v>
      </c>
      <c r="AC23" t="b">
        <v>1</v>
      </c>
      <c r="AD23">
        <v>0</v>
      </c>
      <c r="AE23">
        <v>0</v>
      </c>
      <c r="AF23" t="s">
        <v>524</v>
      </c>
      <c r="AG23">
        <v>0</v>
      </c>
      <c r="AH23">
        <v>0</v>
      </c>
      <c r="AI23" t="s">
        <v>524</v>
      </c>
      <c r="AJ23">
        <v>0</v>
      </c>
      <c r="AK23" t="s">
        <v>525</v>
      </c>
      <c r="AL23">
        <v>0</v>
      </c>
      <c r="AM23" t="s">
        <v>524</v>
      </c>
      <c r="AN23">
        <v>0</v>
      </c>
      <c r="AO23" s="35">
        <v>1025</v>
      </c>
      <c r="AP23" s="35">
        <v>1173.9000000000001</v>
      </c>
      <c r="AQ23" s="35">
        <v>1374.7</v>
      </c>
      <c r="AR23" s="35">
        <v>1274.3000000000002</v>
      </c>
      <c r="AS23" s="35">
        <v>2926.1</v>
      </c>
      <c r="AT23" s="35">
        <v>2725.3</v>
      </c>
      <c r="AU23" s="37">
        <v>66.47</v>
      </c>
      <c r="AV23" s="30">
        <v>71.37</v>
      </c>
      <c r="AW23" s="30">
        <v>0.379</v>
      </c>
      <c r="AX23" s="35">
        <v>0</v>
      </c>
      <c r="AY23" s="30">
        <v>0.27900000000000003</v>
      </c>
      <c r="AZ23" s="35">
        <v>0</v>
      </c>
      <c r="BA23"/>
      <c r="BB23"/>
    </row>
    <row r="24" spans="1:54" x14ac:dyDescent="0.3">
      <c r="A24" t="s">
        <v>313</v>
      </c>
      <c r="B24">
        <v>77.900000000000006</v>
      </c>
      <c r="D24">
        <v>0.3</v>
      </c>
      <c r="E24">
        <v>25</v>
      </c>
      <c r="F24">
        <v>246.8</v>
      </c>
      <c r="G24">
        <v>46</v>
      </c>
      <c r="H24">
        <v>46</v>
      </c>
      <c r="I24">
        <v>25</v>
      </c>
      <c r="J24">
        <v>80</v>
      </c>
      <c r="K24">
        <v>80</v>
      </c>
      <c r="L24">
        <v>30</v>
      </c>
      <c r="M24">
        <v>10</v>
      </c>
      <c r="N24">
        <v>80</v>
      </c>
      <c r="O24">
        <v>25</v>
      </c>
      <c r="P24">
        <v>28</v>
      </c>
      <c r="S24" t="b">
        <v>0</v>
      </c>
      <c r="T24" t="b">
        <v>0</v>
      </c>
      <c r="U24" t="s">
        <v>524</v>
      </c>
      <c r="V24">
        <v>4100</v>
      </c>
      <c r="W24">
        <v>4100</v>
      </c>
      <c r="X24">
        <v>0</v>
      </c>
      <c r="Y24">
        <v>0</v>
      </c>
      <c r="Z24">
        <v>4100</v>
      </c>
      <c r="AA24">
        <v>0</v>
      </c>
      <c r="AB24">
        <v>0</v>
      </c>
      <c r="AC24" t="b">
        <v>1</v>
      </c>
      <c r="AD24">
        <v>0</v>
      </c>
      <c r="AE24">
        <v>0</v>
      </c>
      <c r="AF24" t="s">
        <v>524</v>
      </c>
      <c r="AG24">
        <v>0</v>
      </c>
      <c r="AH24">
        <v>0</v>
      </c>
      <c r="AI24" t="s">
        <v>524</v>
      </c>
      <c r="AJ24">
        <v>0</v>
      </c>
      <c r="AK24" t="s">
        <v>525</v>
      </c>
      <c r="AL24">
        <v>0</v>
      </c>
      <c r="AM24" t="s">
        <v>524</v>
      </c>
      <c r="AN24">
        <v>0</v>
      </c>
      <c r="AO24" s="35">
        <v>1025</v>
      </c>
      <c r="AP24" s="35">
        <v>1173.9000000000001</v>
      </c>
      <c r="AQ24" s="35">
        <v>1374.7</v>
      </c>
      <c r="AR24" s="35">
        <v>1274.3000000000002</v>
      </c>
      <c r="AS24" s="35">
        <v>2926.1</v>
      </c>
      <c r="AT24" s="35">
        <v>2725.3</v>
      </c>
      <c r="AU24" s="37">
        <v>66.47</v>
      </c>
      <c r="AV24" s="30">
        <v>71.37</v>
      </c>
      <c r="AW24" s="30">
        <v>0.379</v>
      </c>
      <c r="AX24" s="35">
        <v>0</v>
      </c>
      <c r="AY24" s="30">
        <v>0.27900000000000003</v>
      </c>
      <c r="AZ24" s="35">
        <v>0</v>
      </c>
      <c r="BA24"/>
      <c r="BB24"/>
    </row>
    <row r="25" spans="1:54" x14ac:dyDescent="0.3">
      <c r="A25" t="s">
        <v>317</v>
      </c>
      <c r="B25">
        <v>3.8</v>
      </c>
      <c r="D25">
        <v>0.1</v>
      </c>
      <c r="E25">
        <v>25</v>
      </c>
      <c r="F25">
        <v>42.2</v>
      </c>
      <c r="G25">
        <v>19</v>
      </c>
      <c r="H25">
        <v>19</v>
      </c>
      <c r="I25">
        <v>25</v>
      </c>
      <c r="J25">
        <v>19</v>
      </c>
      <c r="K25">
        <v>19</v>
      </c>
      <c r="L25">
        <v>30</v>
      </c>
      <c r="M25">
        <v>10</v>
      </c>
      <c r="N25">
        <v>19</v>
      </c>
      <c r="O25">
        <v>20</v>
      </c>
      <c r="P25">
        <v>20</v>
      </c>
      <c r="S25" t="b">
        <v>0</v>
      </c>
      <c r="T25" t="b">
        <v>0</v>
      </c>
      <c r="U25" t="s">
        <v>524</v>
      </c>
      <c r="V25">
        <v>200</v>
      </c>
      <c r="W25">
        <v>200</v>
      </c>
      <c r="X25">
        <v>0</v>
      </c>
      <c r="Y25">
        <v>0</v>
      </c>
      <c r="Z25">
        <v>200</v>
      </c>
      <c r="AA25">
        <v>0</v>
      </c>
      <c r="AB25">
        <v>0</v>
      </c>
      <c r="AC25" t="b">
        <v>1</v>
      </c>
      <c r="AD25">
        <v>0</v>
      </c>
      <c r="AE25">
        <v>0</v>
      </c>
      <c r="AF25" t="s">
        <v>524</v>
      </c>
      <c r="AG25">
        <v>0</v>
      </c>
      <c r="AH25">
        <v>0</v>
      </c>
      <c r="AI25" t="s">
        <v>524</v>
      </c>
      <c r="AJ25">
        <v>0</v>
      </c>
      <c r="AK25" t="s">
        <v>525</v>
      </c>
      <c r="AL25">
        <v>0</v>
      </c>
      <c r="AM25" t="s">
        <v>524</v>
      </c>
      <c r="AN25">
        <v>0</v>
      </c>
      <c r="AO25" s="35">
        <v>40</v>
      </c>
      <c r="AP25" s="35">
        <v>87.8</v>
      </c>
      <c r="AQ25" s="35">
        <v>111</v>
      </c>
      <c r="AR25" s="35">
        <v>99.4</v>
      </c>
      <c r="AS25" s="35">
        <v>112.2</v>
      </c>
      <c r="AT25" s="35">
        <v>89</v>
      </c>
      <c r="AU25" s="37">
        <v>44.5</v>
      </c>
      <c r="AV25" s="30">
        <v>56.1</v>
      </c>
      <c r="AW25" s="30">
        <v>0.193</v>
      </c>
      <c r="AX25" s="35">
        <v>0</v>
      </c>
      <c r="AY25" s="30">
        <v>9.2999999999999999E-2</v>
      </c>
      <c r="AZ25" s="35">
        <v>0</v>
      </c>
      <c r="BA25"/>
      <c r="BB25"/>
    </row>
    <row r="26" spans="1:54" x14ac:dyDescent="0.3">
      <c r="A26" t="s">
        <v>321</v>
      </c>
      <c r="B26">
        <v>3.8</v>
      </c>
      <c r="D26">
        <v>0.1</v>
      </c>
      <c r="E26">
        <v>25</v>
      </c>
      <c r="F26">
        <v>42.2</v>
      </c>
      <c r="G26">
        <v>19</v>
      </c>
      <c r="H26">
        <v>19</v>
      </c>
      <c r="I26">
        <v>25</v>
      </c>
      <c r="J26">
        <v>19</v>
      </c>
      <c r="K26">
        <v>19</v>
      </c>
      <c r="L26">
        <v>30</v>
      </c>
      <c r="M26">
        <v>10</v>
      </c>
      <c r="N26">
        <v>19</v>
      </c>
      <c r="O26">
        <v>20</v>
      </c>
      <c r="P26">
        <v>20</v>
      </c>
      <c r="S26" t="b">
        <v>0</v>
      </c>
      <c r="T26" t="b">
        <v>0</v>
      </c>
      <c r="U26" t="s">
        <v>524</v>
      </c>
      <c r="V26">
        <v>200</v>
      </c>
      <c r="W26">
        <v>200</v>
      </c>
      <c r="X26">
        <v>0</v>
      </c>
      <c r="Y26">
        <v>0</v>
      </c>
      <c r="Z26">
        <v>200</v>
      </c>
      <c r="AA26">
        <v>0</v>
      </c>
      <c r="AB26">
        <v>0</v>
      </c>
      <c r="AC26" t="b">
        <v>1</v>
      </c>
      <c r="AD26">
        <v>0</v>
      </c>
      <c r="AE26">
        <v>0</v>
      </c>
      <c r="AF26" t="s">
        <v>524</v>
      </c>
      <c r="AG26">
        <v>0</v>
      </c>
      <c r="AH26">
        <v>0</v>
      </c>
      <c r="AI26" t="s">
        <v>524</v>
      </c>
      <c r="AJ26">
        <v>0</v>
      </c>
      <c r="AK26" t="s">
        <v>525</v>
      </c>
      <c r="AL26">
        <v>0</v>
      </c>
      <c r="AM26" t="s">
        <v>524</v>
      </c>
      <c r="AN26">
        <v>0</v>
      </c>
      <c r="AO26" s="35">
        <v>40</v>
      </c>
      <c r="AP26" s="35">
        <v>87.8</v>
      </c>
      <c r="AQ26" s="35">
        <v>111</v>
      </c>
      <c r="AR26" s="35">
        <v>99.4</v>
      </c>
      <c r="AS26" s="35">
        <v>112.2</v>
      </c>
      <c r="AT26" s="35">
        <v>89</v>
      </c>
      <c r="AU26" s="37">
        <v>44.5</v>
      </c>
      <c r="AV26" s="30">
        <v>56.1</v>
      </c>
      <c r="AW26" s="30">
        <v>0.193</v>
      </c>
      <c r="AX26" s="35">
        <v>0</v>
      </c>
      <c r="AY26" s="30">
        <v>9.2999999999999999E-2</v>
      </c>
      <c r="AZ26" s="35">
        <v>0</v>
      </c>
      <c r="BA26"/>
      <c r="BB26"/>
    </row>
    <row r="27" spans="1:54" x14ac:dyDescent="0.3">
      <c r="A27" t="s">
        <v>324</v>
      </c>
      <c r="B27">
        <v>3.8</v>
      </c>
      <c r="D27">
        <v>0.1</v>
      </c>
      <c r="E27">
        <v>25</v>
      </c>
      <c r="F27">
        <v>42.2</v>
      </c>
      <c r="G27">
        <v>19</v>
      </c>
      <c r="H27">
        <v>19</v>
      </c>
      <c r="I27">
        <v>25</v>
      </c>
      <c r="J27">
        <v>19</v>
      </c>
      <c r="K27">
        <v>19</v>
      </c>
      <c r="L27">
        <v>30</v>
      </c>
      <c r="M27">
        <v>10</v>
      </c>
      <c r="N27">
        <v>19</v>
      </c>
      <c r="O27">
        <v>20</v>
      </c>
      <c r="P27">
        <v>20</v>
      </c>
      <c r="S27" t="b">
        <v>0</v>
      </c>
      <c r="T27" t="b">
        <v>0</v>
      </c>
      <c r="U27" t="s">
        <v>524</v>
      </c>
      <c r="V27">
        <v>200</v>
      </c>
      <c r="W27">
        <v>200</v>
      </c>
      <c r="X27">
        <v>0</v>
      </c>
      <c r="Y27">
        <v>0</v>
      </c>
      <c r="Z27">
        <v>200</v>
      </c>
      <c r="AA27">
        <v>0</v>
      </c>
      <c r="AB27">
        <v>0</v>
      </c>
      <c r="AC27" t="b">
        <v>1</v>
      </c>
      <c r="AD27">
        <v>0</v>
      </c>
      <c r="AE27">
        <v>0</v>
      </c>
      <c r="AF27" t="s">
        <v>524</v>
      </c>
      <c r="AG27">
        <v>0</v>
      </c>
      <c r="AH27">
        <v>0</v>
      </c>
      <c r="AI27" t="s">
        <v>524</v>
      </c>
      <c r="AJ27">
        <v>0</v>
      </c>
      <c r="AK27" t="s">
        <v>525</v>
      </c>
      <c r="AL27">
        <v>0</v>
      </c>
      <c r="AM27" t="s">
        <v>524</v>
      </c>
      <c r="AN27">
        <v>0</v>
      </c>
      <c r="AO27" s="35">
        <v>40</v>
      </c>
      <c r="AP27" s="35">
        <v>87.8</v>
      </c>
      <c r="AQ27" s="35">
        <v>111</v>
      </c>
      <c r="AR27" s="35">
        <v>99.4</v>
      </c>
      <c r="AS27" s="35">
        <v>112.2</v>
      </c>
      <c r="AT27" s="35">
        <v>89</v>
      </c>
      <c r="AU27" s="37">
        <v>44.5</v>
      </c>
      <c r="AV27" s="30">
        <v>56.1</v>
      </c>
      <c r="AW27" s="30">
        <v>0.193</v>
      </c>
      <c r="AX27" s="35">
        <v>0</v>
      </c>
      <c r="AY27" s="30">
        <v>9.2999999999999999E-2</v>
      </c>
      <c r="AZ27" s="35">
        <v>0</v>
      </c>
      <c r="BA27"/>
      <c r="BB27"/>
    </row>
    <row r="28" spans="1:54" s="39" customFormat="1" x14ac:dyDescent="0.3">
      <c r="A28" s="39" t="s">
        <v>134</v>
      </c>
      <c r="B28" s="39">
        <v>25.86</v>
      </c>
      <c r="D28" s="39">
        <v>0.6</v>
      </c>
      <c r="E28" s="39">
        <v>25</v>
      </c>
      <c r="F28" s="39">
        <v>173.24</v>
      </c>
      <c r="G28" s="39">
        <v>66</v>
      </c>
      <c r="H28" s="39">
        <v>66</v>
      </c>
      <c r="I28" s="39">
        <v>25</v>
      </c>
      <c r="J28" s="39">
        <v>116</v>
      </c>
      <c r="K28" s="39">
        <v>116</v>
      </c>
      <c r="L28" s="39">
        <v>30</v>
      </c>
      <c r="M28" s="39">
        <v>10</v>
      </c>
      <c r="N28" s="39">
        <v>116</v>
      </c>
      <c r="O28" s="39">
        <v>31</v>
      </c>
      <c r="P28" s="39">
        <v>39</v>
      </c>
      <c r="Q28" s="39" t="s">
        <v>619</v>
      </c>
      <c r="R28" s="39" t="s">
        <v>620</v>
      </c>
      <c r="S28" s="39" t="b">
        <v>0</v>
      </c>
      <c r="T28" s="39" t="b">
        <v>0</v>
      </c>
      <c r="U28" s="39" t="s">
        <v>524</v>
      </c>
      <c r="V28" s="39">
        <v>1361</v>
      </c>
      <c r="W28" s="39">
        <v>1361</v>
      </c>
      <c r="X28" s="39">
        <v>1563</v>
      </c>
      <c r="Y28" s="39">
        <v>3001</v>
      </c>
      <c r="Z28" s="39">
        <v>2087</v>
      </c>
      <c r="AA28" s="39">
        <v>0</v>
      </c>
      <c r="AB28" s="39">
        <v>0</v>
      </c>
      <c r="AC28" s="39" t="b">
        <v>0</v>
      </c>
      <c r="AD28" s="39">
        <v>622</v>
      </c>
      <c r="AE28" s="39">
        <v>0</v>
      </c>
      <c r="AF28" s="39" t="s">
        <v>524</v>
      </c>
      <c r="AG28" s="39">
        <v>0</v>
      </c>
      <c r="AH28" s="39">
        <v>0</v>
      </c>
      <c r="AI28" s="39" t="s">
        <v>524</v>
      </c>
      <c r="AJ28" s="39">
        <v>0</v>
      </c>
      <c r="AK28" s="39" t="s">
        <v>525</v>
      </c>
      <c r="AL28" s="39">
        <v>0</v>
      </c>
      <c r="AM28" s="39" t="s">
        <v>524</v>
      </c>
      <c r="AN28" s="39">
        <v>0</v>
      </c>
      <c r="AO28" s="40">
        <v>646.97</v>
      </c>
      <c r="AP28" s="40">
        <v>763.83</v>
      </c>
      <c r="AQ28" s="40">
        <v>871.07</v>
      </c>
      <c r="AR28" s="40">
        <v>817.45</v>
      </c>
      <c r="AS28" s="40">
        <v>701.17</v>
      </c>
      <c r="AT28" s="40">
        <v>593.92999999999995</v>
      </c>
      <c r="AU28" s="41">
        <v>28.46</v>
      </c>
      <c r="AV28" s="42">
        <v>33.6</v>
      </c>
      <c r="AW28" s="42">
        <v>0.29799999999999999</v>
      </c>
      <c r="AX28" s="40">
        <v>2085.06</v>
      </c>
      <c r="AY28" s="42">
        <v>0.19800000000000001</v>
      </c>
      <c r="AZ28" s="40">
        <v>3136.45</v>
      </c>
    </row>
    <row r="29" spans="1:54" x14ac:dyDescent="0.3">
      <c r="A29" t="s">
        <v>135</v>
      </c>
      <c r="B29">
        <v>28.79</v>
      </c>
      <c r="D29">
        <v>0.4</v>
      </c>
      <c r="E29">
        <v>25</v>
      </c>
      <c r="F29">
        <v>179.4</v>
      </c>
      <c r="G29">
        <v>66</v>
      </c>
      <c r="H29">
        <v>66</v>
      </c>
      <c r="I29">
        <v>25</v>
      </c>
      <c r="J29">
        <v>116</v>
      </c>
      <c r="K29">
        <v>116</v>
      </c>
      <c r="L29">
        <v>30</v>
      </c>
      <c r="M29">
        <v>10</v>
      </c>
      <c r="N29">
        <v>116</v>
      </c>
      <c r="O29">
        <v>31</v>
      </c>
      <c r="P29">
        <v>39</v>
      </c>
      <c r="Q29" t="s">
        <v>619</v>
      </c>
      <c r="R29" t="s">
        <v>620</v>
      </c>
      <c r="S29" t="b">
        <v>0</v>
      </c>
      <c r="T29" t="b">
        <v>0</v>
      </c>
      <c r="U29" t="s">
        <v>524</v>
      </c>
      <c r="V29">
        <v>1015</v>
      </c>
      <c r="W29">
        <v>1515</v>
      </c>
      <c r="X29">
        <v>1883</v>
      </c>
      <c r="Y29">
        <v>3666</v>
      </c>
      <c r="Z29">
        <v>2492</v>
      </c>
      <c r="AA29">
        <v>0</v>
      </c>
      <c r="AB29">
        <v>0</v>
      </c>
      <c r="AC29" t="b">
        <v>0</v>
      </c>
      <c r="AD29">
        <v>770</v>
      </c>
      <c r="AE29">
        <v>0</v>
      </c>
      <c r="AF29" t="s">
        <v>524</v>
      </c>
      <c r="AG29">
        <v>0</v>
      </c>
      <c r="AH29">
        <v>0</v>
      </c>
      <c r="AI29" t="s">
        <v>524</v>
      </c>
      <c r="AJ29">
        <v>0</v>
      </c>
      <c r="AK29" t="s">
        <v>525</v>
      </c>
      <c r="AL29">
        <v>0</v>
      </c>
      <c r="AM29" t="s">
        <v>524</v>
      </c>
      <c r="AN29">
        <v>0</v>
      </c>
      <c r="AO29" s="35">
        <v>772.52</v>
      </c>
      <c r="AP29" s="35">
        <v>892.31</v>
      </c>
      <c r="AQ29" s="35">
        <v>1005.7099999999999</v>
      </c>
      <c r="AR29" s="35">
        <v>949.01</v>
      </c>
      <c r="AS29" s="35">
        <v>829.69</v>
      </c>
      <c r="AT29" s="35">
        <v>716.29000000000008</v>
      </c>
      <c r="AU29" s="37">
        <v>28.74</v>
      </c>
      <c r="AV29" s="30">
        <v>33.29</v>
      </c>
      <c r="AW29" s="30">
        <v>0.309</v>
      </c>
      <c r="AX29" s="35">
        <v>2490.48</v>
      </c>
      <c r="AY29" s="30">
        <v>0.20899999999999999</v>
      </c>
      <c r="AZ29" s="35">
        <v>3681.09</v>
      </c>
      <c r="BA29"/>
      <c r="BB29"/>
    </row>
    <row r="30" spans="1:54" x14ac:dyDescent="0.3">
      <c r="A30" t="s">
        <v>328</v>
      </c>
      <c r="B30">
        <v>66.5</v>
      </c>
      <c r="D30">
        <v>0.3</v>
      </c>
      <c r="E30">
        <v>25</v>
      </c>
      <c r="F30">
        <v>240.8</v>
      </c>
      <c r="G30">
        <v>56</v>
      </c>
      <c r="H30">
        <v>56</v>
      </c>
      <c r="I30">
        <v>25</v>
      </c>
      <c r="J30">
        <v>98</v>
      </c>
      <c r="K30">
        <v>98</v>
      </c>
      <c r="L30">
        <v>30</v>
      </c>
      <c r="M30">
        <v>10</v>
      </c>
      <c r="N30">
        <v>98</v>
      </c>
      <c r="O30">
        <v>25</v>
      </c>
      <c r="P30">
        <v>28</v>
      </c>
      <c r="S30" t="b">
        <v>0</v>
      </c>
      <c r="T30" t="b">
        <v>0</v>
      </c>
      <c r="U30" t="s">
        <v>524</v>
      </c>
      <c r="V30">
        <v>3500</v>
      </c>
      <c r="W30">
        <v>3500</v>
      </c>
      <c r="X30">
        <v>0</v>
      </c>
      <c r="Y30">
        <v>9000</v>
      </c>
      <c r="Z30">
        <v>3500</v>
      </c>
      <c r="AA30">
        <v>0</v>
      </c>
      <c r="AB30">
        <v>0</v>
      </c>
      <c r="AC30" t="b">
        <v>1</v>
      </c>
      <c r="AD30">
        <v>0</v>
      </c>
      <c r="AE30">
        <v>0</v>
      </c>
      <c r="AF30" t="s">
        <v>524</v>
      </c>
      <c r="AG30">
        <v>0</v>
      </c>
      <c r="AH30">
        <v>0</v>
      </c>
      <c r="AI30" t="s">
        <v>524</v>
      </c>
      <c r="AJ30">
        <v>0</v>
      </c>
      <c r="AK30" t="s">
        <v>525</v>
      </c>
      <c r="AL30">
        <v>0</v>
      </c>
      <c r="AM30" t="s">
        <v>524</v>
      </c>
      <c r="AN30">
        <v>0</v>
      </c>
      <c r="AO30" s="35">
        <v>875</v>
      </c>
      <c r="AP30" s="35">
        <v>1022.5</v>
      </c>
      <c r="AQ30" s="35">
        <v>1207.3</v>
      </c>
      <c r="AR30" s="35">
        <v>1114.9000000000001</v>
      </c>
      <c r="AS30" s="35">
        <v>2477.5</v>
      </c>
      <c r="AT30" s="35">
        <v>2292.6999999999998</v>
      </c>
      <c r="AU30" s="37">
        <v>65.510000000000005</v>
      </c>
      <c r="AV30" s="30">
        <v>70.790000000000006</v>
      </c>
      <c r="AW30" s="30">
        <v>0.371</v>
      </c>
      <c r="AX30" s="35">
        <v>0</v>
      </c>
      <c r="AY30" s="30">
        <v>0.27100000000000002</v>
      </c>
      <c r="AZ30" s="35">
        <v>0</v>
      </c>
      <c r="BA30"/>
      <c r="BB30"/>
    </row>
    <row r="31" spans="1:54" x14ac:dyDescent="0.3">
      <c r="A31" t="s">
        <v>332</v>
      </c>
      <c r="B31">
        <v>66.5</v>
      </c>
      <c r="D31">
        <v>0.3</v>
      </c>
      <c r="E31">
        <v>25</v>
      </c>
      <c r="F31">
        <v>240.8</v>
      </c>
      <c r="G31">
        <v>56</v>
      </c>
      <c r="H31">
        <v>56</v>
      </c>
      <c r="I31">
        <v>25</v>
      </c>
      <c r="J31">
        <v>98</v>
      </c>
      <c r="K31">
        <v>98</v>
      </c>
      <c r="L31">
        <v>30</v>
      </c>
      <c r="M31">
        <v>10</v>
      </c>
      <c r="N31">
        <v>98</v>
      </c>
      <c r="O31">
        <v>25</v>
      </c>
      <c r="P31">
        <v>28</v>
      </c>
      <c r="S31" t="b">
        <v>0</v>
      </c>
      <c r="T31" t="b">
        <v>0</v>
      </c>
      <c r="U31" t="s">
        <v>524</v>
      </c>
      <c r="V31">
        <v>3500</v>
      </c>
      <c r="W31">
        <v>3500</v>
      </c>
      <c r="X31">
        <v>0</v>
      </c>
      <c r="Y31">
        <v>9000</v>
      </c>
      <c r="Z31">
        <v>3500</v>
      </c>
      <c r="AA31">
        <v>0</v>
      </c>
      <c r="AB31">
        <v>0</v>
      </c>
      <c r="AC31" t="b">
        <v>1</v>
      </c>
      <c r="AD31">
        <v>0</v>
      </c>
      <c r="AE31">
        <v>0</v>
      </c>
      <c r="AF31" t="s">
        <v>524</v>
      </c>
      <c r="AG31">
        <v>0</v>
      </c>
      <c r="AH31">
        <v>0</v>
      </c>
      <c r="AI31" t="s">
        <v>524</v>
      </c>
      <c r="AJ31">
        <v>0</v>
      </c>
      <c r="AK31" t="s">
        <v>525</v>
      </c>
      <c r="AL31">
        <v>0</v>
      </c>
      <c r="AM31" t="s">
        <v>524</v>
      </c>
      <c r="AN31">
        <v>0</v>
      </c>
      <c r="AO31" s="35">
        <v>875</v>
      </c>
      <c r="AP31" s="35">
        <v>1022.5</v>
      </c>
      <c r="AQ31" s="35">
        <v>1207.3</v>
      </c>
      <c r="AR31" s="35">
        <v>1114.9000000000001</v>
      </c>
      <c r="AS31" s="35">
        <v>2477.5</v>
      </c>
      <c r="AT31" s="35">
        <v>2292.6999999999998</v>
      </c>
      <c r="AU31" s="37">
        <v>65.510000000000005</v>
      </c>
      <c r="AV31" s="30">
        <v>70.790000000000006</v>
      </c>
      <c r="AW31" s="30">
        <v>0.371</v>
      </c>
      <c r="AX31" s="35">
        <v>0</v>
      </c>
      <c r="AY31" s="30">
        <v>0.27100000000000002</v>
      </c>
      <c r="AZ31" s="35">
        <v>0</v>
      </c>
      <c r="BA31"/>
      <c r="BB31"/>
    </row>
    <row r="32" spans="1:54" x14ac:dyDescent="0.3">
      <c r="A32" t="s">
        <v>336</v>
      </c>
      <c r="B32">
        <v>66.5</v>
      </c>
      <c r="D32">
        <v>0.3</v>
      </c>
      <c r="E32">
        <v>25</v>
      </c>
      <c r="F32">
        <v>240.8</v>
      </c>
      <c r="G32">
        <v>56</v>
      </c>
      <c r="H32">
        <v>56</v>
      </c>
      <c r="I32">
        <v>25</v>
      </c>
      <c r="J32">
        <v>98</v>
      </c>
      <c r="K32">
        <v>98</v>
      </c>
      <c r="L32">
        <v>30</v>
      </c>
      <c r="M32">
        <v>10</v>
      </c>
      <c r="N32">
        <v>98</v>
      </c>
      <c r="O32">
        <v>25</v>
      </c>
      <c r="P32">
        <v>28</v>
      </c>
      <c r="S32" t="b">
        <v>0</v>
      </c>
      <c r="T32" t="b">
        <v>0</v>
      </c>
      <c r="U32" t="s">
        <v>524</v>
      </c>
      <c r="V32">
        <v>3500</v>
      </c>
      <c r="W32">
        <v>3500</v>
      </c>
      <c r="X32">
        <v>0</v>
      </c>
      <c r="Y32">
        <v>9000</v>
      </c>
      <c r="Z32">
        <v>3500</v>
      </c>
      <c r="AA32">
        <v>0</v>
      </c>
      <c r="AB32">
        <v>0</v>
      </c>
      <c r="AC32" t="b">
        <v>1</v>
      </c>
      <c r="AD32">
        <v>0</v>
      </c>
      <c r="AE32">
        <v>0</v>
      </c>
      <c r="AF32" t="s">
        <v>524</v>
      </c>
      <c r="AG32">
        <v>0</v>
      </c>
      <c r="AH32">
        <v>0</v>
      </c>
      <c r="AI32" t="s">
        <v>524</v>
      </c>
      <c r="AJ32">
        <v>0</v>
      </c>
      <c r="AK32" t="s">
        <v>525</v>
      </c>
      <c r="AL32">
        <v>0</v>
      </c>
      <c r="AM32" t="s">
        <v>524</v>
      </c>
      <c r="AN32">
        <v>0</v>
      </c>
      <c r="AO32" s="35">
        <v>875</v>
      </c>
      <c r="AP32" s="35">
        <v>1022.5</v>
      </c>
      <c r="AQ32" s="35">
        <v>1207.3</v>
      </c>
      <c r="AR32" s="35">
        <v>1114.9000000000001</v>
      </c>
      <c r="AS32" s="35">
        <v>2477.5</v>
      </c>
      <c r="AT32" s="35">
        <v>2292.6999999999998</v>
      </c>
      <c r="AU32" s="37">
        <v>65.510000000000005</v>
      </c>
      <c r="AV32" s="30">
        <v>70.790000000000006</v>
      </c>
      <c r="AW32" s="30">
        <v>0.371</v>
      </c>
      <c r="AX32" s="35">
        <v>0</v>
      </c>
      <c r="AY32" s="30">
        <v>0.27100000000000002</v>
      </c>
      <c r="AZ32" s="35">
        <v>0</v>
      </c>
      <c r="BA32"/>
      <c r="BB32"/>
    </row>
    <row r="33" spans="1:54" x14ac:dyDescent="0.3">
      <c r="A33" t="s">
        <v>136</v>
      </c>
      <c r="B33">
        <v>51.3</v>
      </c>
      <c r="D33">
        <v>0.4</v>
      </c>
      <c r="E33">
        <v>25</v>
      </c>
      <c r="F33">
        <v>226.8</v>
      </c>
      <c r="G33">
        <v>66</v>
      </c>
      <c r="H33">
        <v>66</v>
      </c>
      <c r="I33">
        <v>25</v>
      </c>
      <c r="J33">
        <v>116</v>
      </c>
      <c r="K33">
        <v>116</v>
      </c>
      <c r="L33">
        <v>30</v>
      </c>
      <c r="M33">
        <v>10</v>
      </c>
      <c r="N33">
        <v>116</v>
      </c>
      <c r="O33">
        <v>31</v>
      </c>
      <c r="P33">
        <v>39</v>
      </c>
      <c r="Q33" t="s">
        <v>619</v>
      </c>
      <c r="R33" t="s">
        <v>620</v>
      </c>
      <c r="S33" t="b">
        <v>0</v>
      </c>
      <c r="T33" t="b">
        <v>0</v>
      </c>
      <c r="U33" t="s">
        <v>524</v>
      </c>
      <c r="V33">
        <v>1800</v>
      </c>
      <c r="W33">
        <v>2700</v>
      </c>
      <c r="X33">
        <v>1989</v>
      </c>
      <c r="Y33">
        <v>3749</v>
      </c>
      <c r="Z33">
        <v>2700</v>
      </c>
      <c r="AA33">
        <v>0</v>
      </c>
      <c r="AB33">
        <v>0</v>
      </c>
      <c r="AC33" t="b">
        <v>0</v>
      </c>
      <c r="AD33">
        <v>789</v>
      </c>
      <c r="AE33">
        <v>0</v>
      </c>
      <c r="AF33" t="s">
        <v>524</v>
      </c>
      <c r="AG33">
        <v>0</v>
      </c>
      <c r="AH33">
        <v>0</v>
      </c>
      <c r="AI33" t="s">
        <v>524</v>
      </c>
      <c r="AJ33">
        <v>0</v>
      </c>
      <c r="AK33" t="s">
        <v>525</v>
      </c>
      <c r="AL33">
        <v>0</v>
      </c>
      <c r="AM33" t="s">
        <v>524</v>
      </c>
      <c r="AN33">
        <v>0</v>
      </c>
      <c r="AO33" s="35">
        <v>837</v>
      </c>
      <c r="AP33" s="35">
        <v>979.3</v>
      </c>
      <c r="AQ33" s="35">
        <v>1140.0999999999999</v>
      </c>
      <c r="AR33" s="35">
        <v>1059.6999999999998</v>
      </c>
      <c r="AS33" s="35">
        <v>931.7</v>
      </c>
      <c r="AT33" s="35">
        <v>770.90000000000009</v>
      </c>
      <c r="AU33" s="37">
        <v>28.55</v>
      </c>
      <c r="AV33" s="30">
        <v>34.51</v>
      </c>
      <c r="AW33" s="30">
        <v>0.29799999999999999</v>
      </c>
      <c r="AX33" s="35">
        <v>2651.94</v>
      </c>
      <c r="AY33" s="30">
        <v>0.19800000000000001</v>
      </c>
      <c r="AZ33" s="35">
        <v>3994.56</v>
      </c>
      <c r="BA33"/>
      <c r="BB33"/>
    </row>
    <row r="34" spans="1:54" x14ac:dyDescent="0.3">
      <c r="A34" t="s">
        <v>137</v>
      </c>
      <c r="B34">
        <v>28.79</v>
      </c>
      <c r="D34">
        <v>0.4</v>
      </c>
      <c r="E34">
        <v>25</v>
      </c>
      <c r="F34">
        <v>179.4</v>
      </c>
      <c r="G34">
        <v>66</v>
      </c>
      <c r="H34">
        <v>66</v>
      </c>
      <c r="I34">
        <v>25</v>
      </c>
      <c r="J34">
        <v>116</v>
      </c>
      <c r="K34">
        <v>116</v>
      </c>
      <c r="L34">
        <v>30</v>
      </c>
      <c r="M34">
        <v>10</v>
      </c>
      <c r="N34">
        <v>116</v>
      </c>
      <c r="O34">
        <v>31</v>
      </c>
      <c r="P34">
        <v>39</v>
      </c>
      <c r="Q34" t="s">
        <v>619</v>
      </c>
      <c r="R34" t="s">
        <v>620</v>
      </c>
      <c r="S34" t="b">
        <v>0</v>
      </c>
      <c r="T34" t="b">
        <v>0</v>
      </c>
      <c r="U34" t="s">
        <v>524</v>
      </c>
      <c r="V34">
        <v>1015</v>
      </c>
      <c r="W34">
        <v>1515</v>
      </c>
      <c r="X34">
        <v>1883</v>
      </c>
      <c r="Y34">
        <v>3666</v>
      </c>
      <c r="Z34">
        <v>2492</v>
      </c>
      <c r="AA34">
        <v>0</v>
      </c>
      <c r="AB34">
        <v>0</v>
      </c>
      <c r="AC34" t="b">
        <v>0</v>
      </c>
      <c r="AD34">
        <v>770</v>
      </c>
      <c r="AE34">
        <v>0</v>
      </c>
      <c r="AF34" t="s">
        <v>524</v>
      </c>
      <c r="AG34">
        <v>0</v>
      </c>
      <c r="AH34">
        <v>0</v>
      </c>
      <c r="AI34" t="s">
        <v>524</v>
      </c>
      <c r="AJ34">
        <v>0</v>
      </c>
      <c r="AK34" t="s">
        <v>525</v>
      </c>
      <c r="AL34">
        <v>0</v>
      </c>
      <c r="AM34" t="s">
        <v>524</v>
      </c>
      <c r="AN34">
        <v>0</v>
      </c>
      <c r="AO34" s="35">
        <v>772.52</v>
      </c>
      <c r="AP34" s="35">
        <v>892.31</v>
      </c>
      <c r="AQ34" s="35">
        <v>1005.7099999999999</v>
      </c>
      <c r="AR34" s="35">
        <v>949.01</v>
      </c>
      <c r="AS34" s="35">
        <v>829.69</v>
      </c>
      <c r="AT34" s="35">
        <v>716.29000000000008</v>
      </c>
      <c r="AU34" s="37">
        <v>28.74</v>
      </c>
      <c r="AV34" s="30">
        <v>33.29</v>
      </c>
      <c r="AW34" s="30">
        <v>0.309</v>
      </c>
      <c r="AX34" s="35">
        <v>2490.48</v>
      </c>
      <c r="AY34" s="30">
        <v>0.20899999999999999</v>
      </c>
      <c r="AZ34" s="35">
        <v>3681.09</v>
      </c>
      <c r="BA34"/>
      <c r="BB34"/>
    </row>
    <row r="35" spans="1:54" x14ac:dyDescent="0.3">
      <c r="A35" t="s">
        <v>138</v>
      </c>
      <c r="B35">
        <v>49.46</v>
      </c>
      <c r="D35">
        <v>0.4</v>
      </c>
      <c r="E35">
        <v>25</v>
      </c>
      <c r="F35">
        <v>222.92</v>
      </c>
      <c r="G35">
        <v>66</v>
      </c>
      <c r="H35">
        <v>66</v>
      </c>
      <c r="I35">
        <v>25</v>
      </c>
      <c r="J35">
        <v>116</v>
      </c>
      <c r="K35">
        <v>116</v>
      </c>
      <c r="L35">
        <v>30</v>
      </c>
      <c r="M35">
        <v>10</v>
      </c>
      <c r="N35">
        <v>116</v>
      </c>
      <c r="O35">
        <v>31</v>
      </c>
      <c r="P35">
        <v>39</v>
      </c>
      <c r="S35" t="b">
        <v>0</v>
      </c>
      <c r="T35" t="b">
        <v>0</v>
      </c>
      <c r="U35" t="s">
        <v>524</v>
      </c>
      <c r="V35">
        <v>2603</v>
      </c>
      <c r="W35">
        <v>2603</v>
      </c>
      <c r="X35">
        <v>1946</v>
      </c>
      <c r="Y35">
        <v>3666</v>
      </c>
      <c r="Z35">
        <v>2603</v>
      </c>
      <c r="AA35">
        <v>0</v>
      </c>
      <c r="AB35">
        <v>0</v>
      </c>
      <c r="AC35" t="b">
        <v>0</v>
      </c>
      <c r="AD35">
        <v>770</v>
      </c>
      <c r="AE35">
        <v>0</v>
      </c>
      <c r="AF35" t="s">
        <v>524</v>
      </c>
      <c r="AG35">
        <v>0</v>
      </c>
      <c r="AH35">
        <v>0</v>
      </c>
      <c r="AI35" t="s">
        <v>524</v>
      </c>
      <c r="AJ35">
        <v>0</v>
      </c>
      <c r="AK35" t="s">
        <v>525</v>
      </c>
      <c r="AL35">
        <v>0</v>
      </c>
      <c r="AM35" t="s">
        <v>524</v>
      </c>
      <c r="AN35">
        <v>0</v>
      </c>
      <c r="AO35" s="35">
        <v>806.93</v>
      </c>
      <c r="AP35" s="35">
        <v>947.39</v>
      </c>
      <c r="AQ35" s="35">
        <v>1104.31</v>
      </c>
      <c r="AR35" s="35">
        <v>1025.8499999999999</v>
      </c>
      <c r="AS35" s="35">
        <v>885.61</v>
      </c>
      <c r="AT35" s="35">
        <v>728.69</v>
      </c>
      <c r="AU35" s="37">
        <v>27.99</v>
      </c>
      <c r="AV35" s="30">
        <v>34.020000000000003</v>
      </c>
      <c r="AW35" s="30">
        <v>0.29599999999999999</v>
      </c>
      <c r="AX35" s="35">
        <v>2602.2600000000002</v>
      </c>
      <c r="AY35" s="30">
        <v>0.19600000000000001</v>
      </c>
      <c r="AZ35" s="35">
        <v>3930.64</v>
      </c>
      <c r="BA35"/>
      <c r="BB35"/>
    </row>
    <row r="36" spans="1:54" x14ac:dyDescent="0.3">
      <c r="A36" t="s">
        <v>139</v>
      </c>
      <c r="B36">
        <v>41.21</v>
      </c>
      <c r="D36">
        <v>0.6</v>
      </c>
      <c r="E36">
        <v>25</v>
      </c>
      <c r="F36">
        <v>205.56</v>
      </c>
      <c r="G36">
        <v>66</v>
      </c>
      <c r="H36">
        <v>66</v>
      </c>
      <c r="I36">
        <v>25</v>
      </c>
      <c r="J36">
        <v>116</v>
      </c>
      <c r="K36">
        <v>116</v>
      </c>
      <c r="L36">
        <v>30</v>
      </c>
      <c r="M36">
        <v>10</v>
      </c>
      <c r="N36">
        <v>116</v>
      </c>
      <c r="O36">
        <v>31</v>
      </c>
      <c r="P36">
        <v>39</v>
      </c>
      <c r="S36" t="b">
        <v>0</v>
      </c>
      <c r="T36" t="b">
        <v>0</v>
      </c>
      <c r="U36" t="s">
        <v>524</v>
      </c>
      <c r="V36">
        <v>2169</v>
      </c>
      <c r="W36">
        <v>2169</v>
      </c>
      <c r="X36">
        <v>1609</v>
      </c>
      <c r="Y36">
        <v>3001</v>
      </c>
      <c r="Z36">
        <v>2169</v>
      </c>
      <c r="AA36">
        <v>0</v>
      </c>
      <c r="AB36">
        <v>0</v>
      </c>
      <c r="AC36" t="b">
        <v>0</v>
      </c>
      <c r="AD36">
        <v>622</v>
      </c>
      <c r="AE36">
        <v>0</v>
      </c>
      <c r="AF36" t="s">
        <v>524</v>
      </c>
      <c r="AG36">
        <v>0</v>
      </c>
      <c r="AH36">
        <v>0</v>
      </c>
      <c r="AI36" t="s">
        <v>524</v>
      </c>
      <c r="AJ36">
        <v>0</v>
      </c>
      <c r="AK36" t="s">
        <v>525</v>
      </c>
      <c r="AL36">
        <v>0</v>
      </c>
      <c r="AM36" t="s">
        <v>524</v>
      </c>
      <c r="AN36">
        <v>0</v>
      </c>
      <c r="AO36" s="35">
        <v>672.39</v>
      </c>
      <c r="AP36" s="35">
        <v>804.6</v>
      </c>
      <c r="AQ36" s="35">
        <v>944.16000000000008</v>
      </c>
      <c r="AR36" s="35">
        <v>874.38000000000011</v>
      </c>
      <c r="AS36" s="35">
        <v>742.4</v>
      </c>
      <c r="AT36" s="35">
        <v>602.83999999999992</v>
      </c>
      <c r="AU36" s="37">
        <v>27.79</v>
      </c>
      <c r="AV36" s="30">
        <v>34.229999999999997</v>
      </c>
      <c r="AW36" s="30">
        <v>0.28699999999999998</v>
      </c>
      <c r="AX36" s="35">
        <v>2168.1999999999998</v>
      </c>
      <c r="AY36" s="30">
        <v>0.187</v>
      </c>
      <c r="AZ36" s="35">
        <v>3328.44</v>
      </c>
      <c r="BA36"/>
      <c r="BB36"/>
    </row>
    <row r="37" spans="1:54" x14ac:dyDescent="0.3">
      <c r="A37" t="s">
        <v>140</v>
      </c>
      <c r="B37">
        <v>32.020000000000003</v>
      </c>
      <c r="D37">
        <v>0.6</v>
      </c>
      <c r="E37">
        <v>25</v>
      </c>
      <c r="F37">
        <v>186.2</v>
      </c>
      <c r="G37">
        <v>66</v>
      </c>
      <c r="H37">
        <v>66</v>
      </c>
      <c r="I37">
        <v>25</v>
      </c>
      <c r="J37">
        <v>116</v>
      </c>
      <c r="K37">
        <v>116</v>
      </c>
      <c r="L37">
        <v>30</v>
      </c>
      <c r="M37">
        <v>10</v>
      </c>
      <c r="N37">
        <v>116</v>
      </c>
      <c r="O37">
        <v>31</v>
      </c>
      <c r="P37">
        <v>39</v>
      </c>
      <c r="Q37" t="s">
        <v>619</v>
      </c>
      <c r="R37" t="s">
        <v>620</v>
      </c>
      <c r="S37" t="b">
        <v>0</v>
      </c>
      <c r="T37" t="b">
        <v>0</v>
      </c>
      <c r="U37" t="s">
        <v>524</v>
      </c>
      <c r="V37">
        <v>1129</v>
      </c>
      <c r="W37">
        <v>1685</v>
      </c>
      <c r="X37">
        <v>1582</v>
      </c>
      <c r="Y37">
        <v>3001</v>
      </c>
      <c r="Z37">
        <v>2120</v>
      </c>
      <c r="AA37">
        <v>0</v>
      </c>
      <c r="AB37">
        <v>0</v>
      </c>
      <c r="AC37" t="b">
        <v>0</v>
      </c>
      <c r="AD37">
        <v>622</v>
      </c>
      <c r="AE37">
        <v>1081</v>
      </c>
      <c r="AF37" t="s">
        <v>524</v>
      </c>
      <c r="AG37">
        <v>0.94</v>
      </c>
      <c r="AH37">
        <v>0</v>
      </c>
      <c r="AI37" t="s">
        <v>524</v>
      </c>
      <c r="AJ37">
        <v>0</v>
      </c>
      <c r="AK37" t="s">
        <v>653</v>
      </c>
      <c r="AL37">
        <v>0</v>
      </c>
      <c r="AM37" t="s">
        <v>524</v>
      </c>
      <c r="AN37">
        <v>0</v>
      </c>
      <c r="AO37" s="35">
        <v>657.2</v>
      </c>
      <c r="AP37" s="35">
        <v>780.22</v>
      </c>
      <c r="AQ37" s="35">
        <v>900.42000000000007</v>
      </c>
      <c r="AR37" s="35">
        <v>840.32</v>
      </c>
      <c r="AS37" s="35">
        <v>717.78</v>
      </c>
      <c r="AT37" s="35">
        <v>597.57999999999993</v>
      </c>
      <c r="AU37" s="37">
        <v>28.19</v>
      </c>
      <c r="AV37" s="30">
        <v>33.86</v>
      </c>
      <c r="AW37" s="30">
        <v>0.29399999999999998</v>
      </c>
      <c r="AX37" s="35">
        <v>2118.37</v>
      </c>
      <c r="AY37" s="30">
        <v>0.19400000000000001</v>
      </c>
      <c r="AZ37" s="35">
        <v>3212.43</v>
      </c>
      <c r="BA37"/>
      <c r="BB37"/>
    </row>
    <row r="38" spans="1:54" x14ac:dyDescent="0.3">
      <c r="A38" t="s">
        <v>141</v>
      </c>
      <c r="B38">
        <v>28.79</v>
      </c>
      <c r="D38">
        <v>0.4</v>
      </c>
      <c r="E38">
        <v>25</v>
      </c>
      <c r="F38">
        <v>179.4</v>
      </c>
      <c r="G38">
        <v>66</v>
      </c>
      <c r="H38">
        <v>66</v>
      </c>
      <c r="I38">
        <v>25</v>
      </c>
      <c r="J38">
        <v>116</v>
      </c>
      <c r="K38">
        <v>116</v>
      </c>
      <c r="L38">
        <v>30</v>
      </c>
      <c r="M38">
        <v>10</v>
      </c>
      <c r="N38">
        <v>116</v>
      </c>
      <c r="O38">
        <v>31</v>
      </c>
      <c r="P38">
        <v>39</v>
      </c>
      <c r="Q38" t="s">
        <v>619</v>
      </c>
      <c r="R38" t="s">
        <v>620</v>
      </c>
      <c r="S38" t="b">
        <v>0</v>
      </c>
      <c r="T38" t="b">
        <v>0</v>
      </c>
      <c r="U38" t="s">
        <v>524</v>
      </c>
      <c r="V38">
        <v>1015</v>
      </c>
      <c r="W38">
        <v>1515</v>
      </c>
      <c r="X38">
        <v>1883</v>
      </c>
      <c r="Y38">
        <v>3666</v>
      </c>
      <c r="Z38">
        <v>2492</v>
      </c>
      <c r="AA38">
        <v>0</v>
      </c>
      <c r="AB38">
        <v>0</v>
      </c>
      <c r="AC38" t="b">
        <v>0</v>
      </c>
      <c r="AD38">
        <v>770</v>
      </c>
      <c r="AE38">
        <v>0</v>
      </c>
      <c r="AF38" t="s">
        <v>524</v>
      </c>
      <c r="AG38">
        <v>0</v>
      </c>
      <c r="AH38">
        <v>0</v>
      </c>
      <c r="AI38" t="s">
        <v>524</v>
      </c>
      <c r="AJ38">
        <v>0</v>
      </c>
      <c r="AK38" t="s">
        <v>525</v>
      </c>
      <c r="AL38">
        <v>0</v>
      </c>
      <c r="AM38" t="s">
        <v>524</v>
      </c>
      <c r="AN38">
        <v>0</v>
      </c>
      <c r="AO38" s="35">
        <v>772.52</v>
      </c>
      <c r="AP38" s="35">
        <v>892.31</v>
      </c>
      <c r="AQ38" s="35">
        <v>1005.7099999999999</v>
      </c>
      <c r="AR38" s="35">
        <v>949.01</v>
      </c>
      <c r="AS38" s="35">
        <v>829.69</v>
      </c>
      <c r="AT38" s="35">
        <v>716.29000000000008</v>
      </c>
      <c r="AU38" s="37">
        <v>28.74</v>
      </c>
      <c r="AV38" s="30">
        <v>33.29</v>
      </c>
      <c r="AW38" s="30">
        <v>0.309</v>
      </c>
      <c r="AX38" s="35">
        <v>2490.48</v>
      </c>
      <c r="AY38" s="30">
        <v>0.20899999999999999</v>
      </c>
      <c r="AZ38" s="35">
        <v>3681.09</v>
      </c>
      <c r="BA38"/>
      <c r="BB38"/>
    </row>
    <row r="39" spans="1:54" x14ac:dyDescent="0.3">
      <c r="A39" t="s">
        <v>142</v>
      </c>
      <c r="B39">
        <v>28.79</v>
      </c>
      <c r="D39">
        <v>0.4</v>
      </c>
      <c r="E39">
        <v>25</v>
      </c>
      <c r="F39">
        <v>179.4</v>
      </c>
      <c r="G39">
        <v>66</v>
      </c>
      <c r="H39">
        <v>66</v>
      </c>
      <c r="I39">
        <v>25</v>
      </c>
      <c r="J39">
        <v>116</v>
      </c>
      <c r="K39">
        <v>116</v>
      </c>
      <c r="L39">
        <v>30</v>
      </c>
      <c r="M39">
        <v>10</v>
      </c>
      <c r="N39">
        <v>116</v>
      </c>
      <c r="O39">
        <v>31</v>
      </c>
      <c r="P39">
        <v>39</v>
      </c>
      <c r="Q39" t="s">
        <v>619</v>
      </c>
      <c r="R39" t="s">
        <v>620</v>
      </c>
      <c r="S39" t="b">
        <v>0</v>
      </c>
      <c r="T39" t="b">
        <v>0</v>
      </c>
      <c r="U39" t="s">
        <v>524</v>
      </c>
      <c r="V39">
        <v>1015</v>
      </c>
      <c r="W39">
        <v>1515</v>
      </c>
      <c r="X39">
        <v>1883</v>
      </c>
      <c r="Y39">
        <v>3666</v>
      </c>
      <c r="Z39">
        <v>2492</v>
      </c>
      <c r="AA39">
        <v>0</v>
      </c>
      <c r="AB39">
        <v>0</v>
      </c>
      <c r="AC39" t="b">
        <v>0</v>
      </c>
      <c r="AD39">
        <v>770</v>
      </c>
      <c r="AE39">
        <v>1278</v>
      </c>
      <c r="AF39" t="s">
        <v>524</v>
      </c>
      <c r="AG39">
        <v>0.72</v>
      </c>
      <c r="AH39">
        <v>0</v>
      </c>
      <c r="AI39" t="s">
        <v>524</v>
      </c>
      <c r="AJ39">
        <v>0</v>
      </c>
      <c r="AK39" t="s">
        <v>653</v>
      </c>
      <c r="AL39">
        <v>1278</v>
      </c>
      <c r="AM39" t="s">
        <v>524</v>
      </c>
      <c r="AN39">
        <v>0.72</v>
      </c>
      <c r="AO39" s="35">
        <v>772.52</v>
      </c>
      <c r="AP39" s="35">
        <v>892.31</v>
      </c>
      <c r="AQ39" s="35">
        <v>1005.7099999999999</v>
      </c>
      <c r="AR39" s="35">
        <v>949.01</v>
      </c>
      <c r="AS39" s="35">
        <v>829.69</v>
      </c>
      <c r="AT39" s="35">
        <v>716.29000000000008</v>
      </c>
      <c r="AU39" s="37">
        <v>28.74</v>
      </c>
      <c r="AV39" s="30">
        <v>33.29</v>
      </c>
      <c r="AW39" s="30">
        <v>0.309</v>
      </c>
      <c r="AX39" s="35">
        <v>2490.48</v>
      </c>
      <c r="AY39" s="30">
        <v>0.20899999999999999</v>
      </c>
      <c r="AZ39" s="35">
        <v>3681.09</v>
      </c>
      <c r="BA39"/>
      <c r="BB39"/>
    </row>
    <row r="40" spans="1:54" x14ac:dyDescent="0.3">
      <c r="A40" t="s">
        <v>340</v>
      </c>
      <c r="B40">
        <v>83.6</v>
      </c>
      <c r="D40">
        <v>0.3</v>
      </c>
      <c r="E40">
        <v>25</v>
      </c>
      <c r="F40">
        <v>258.8</v>
      </c>
      <c r="G40">
        <v>46</v>
      </c>
      <c r="H40">
        <v>46</v>
      </c>
      <c r="I40">
        <v>25</v>
      </c>
      <c r="J40">
        <v>80</v>
      </c>
      <c r="K40">
        <v>80</v>
      </c>
      <c r="L40">
        <v>30</v>
      </c>
      <c r="M40">
        <v>10</v>
      </c>
      <c r="N40">
        <v>80</v>
      </c>
      <c r="O40">
        <v>25</v>
      </c>
      <c r="P40">
        <v>28</v>
      </c>
      <c r="S40" t="b">
        <v>0</v>
      </c>
      <c r="T40" t="b">
        <v>0</v>
      </c>
      <c r="U40" t="s">
        <v>524</v>
      </c>
      <c r="V40">
        <v>4400</v>
      </c>
      <c r="W40">
        <v>4400</v>
      </c>
      <c r="X40">
        <v>0</v>
      </c>
      <c r="Y40">
        <v>9000</v>
      </c>
      <c r="Z40">
        <v>4400</v>
      </c>
      <c r="AA40">
        <v>0</v>
      </c>
      <c r="AB40">
        <v>0</v>
      </c>
      <c r="AC40" t="b">
        <v>1</v>
      </c>
      <c r="AD40">
        <v>0</v>
      </c>
      <c r="AE40">
        <v>0</v>
      </c>
      <c r="AF40" t="s">
        <v>524</v>
      </c>
      <c r="AG40">
        <v>0</v>
      </c>
      <c r="AH40">
        <v>0</v>
      </c>
      <c r="AI40" t="s">
        <v>524</v>
      </c>
      <c r="AJ40">
        <v>0</v>
      </c>
      <c r="AK40" t="s">
        <v>525</v>
      </c>
      <c r="AL40">
        <v>0</v>
      </c>
      <c r="AM40" t="s">
        <v>524</v>
      </c>
      <c r="AN40">
        <v>0</v>
      </c>
      <c r="AO40" s="35">
        <v>1100</v>
      </c>
      <c r="AP40" s="35">
        <v>1254.5999999999999</v>
      </c>
      <c r="AQ40" s="35">
        <v>1467.3999999999999</v>
      </c>
      <c r="AR40" s="35">
        <v>1361</v>
      </c>
      <c r="AS40" s="35">
        <v>3145.4</v>
      </c>
      <c r="AT40" s="35">
        <v>2932.6000000000004</v>
      </c>
      <c r="AU40" s="37">
        <v>66.650000000000006</v>
      </c>
      <c r="AV40" s="30">
        <v>71.489999999999995</v>
      </c>
      <c r="AW40" s="30">
        <v>0.38100000000000001</v>
      </c>
      <c r="AX40" s="35">
        <v>0</v>
      </c>
      <c r="AY40" s="30">
        <v>0.28100000000000003</v>
      </c>
      <c r="AZ40" s="35">
        <v>0</v>
      </c>
      <c r="BA40"/>
      <c r="BB40"/>
    </row>
    <row r="41" spans="1:54" x14ac:dyDescent="0.3">
      <c r="A41" t="s">
        <v>343</v>
      </c>
      <c r="B41">
        <v>83.6</v>
      </c>
      <c r="D41">
        <v>0.3</v>
      </c>
      <c r="E41">
        <v>25</v>
      </c>
      <c r="F41">
        <v>258.8</v>
      </c>
      <c r="G41">
        <v>46</v>
      </c>
      <c r="H41">
        <v>46</v>
      </c>
      <c r="I41">
        <v>25</v>
      </c>
      <c r="J41">
        <v>80</v>
      </c>
      <c r="K41">
        <v>80</v>
      </c>
      <c r="L41">
        <v>30</v>
      </c>
      <c r="M41">
        <v>10</v>
      </c>
      <c r="N41">
        <v>80</v>
      </c>
      <c r="O41">
        <v>25</v>
      </c>
      <c r="P41">
        <v>28</v>
      </c>
      <c r="S41" t="b">
        <v>0</v>
      </c>
      <c r="T41" t="b">
        <v>0</v>
      </c>
      <c r="U41" t="s">
        <v>524</v>
      </c>
      <c r="V41">
        <v>4400</v>
      </c>
      <c r="W41">
        <v>4400</v>
      </c>
      <c r="X41">
        <v>0</v>
      </c>
      <c r="Y41">
        <v>9000</v>
      </c>
      <c r="Z41">
        <v>4400</v>
      </c>
      <c r="AA41">
        <v>0</v>
      </c>
      <c r="AB41">
        <v>0</v>
      </c>
      <c r="AC41" t="b">
        <v>1</v>
      </c>
      <c r="AD41">
        <v>0</v>
      </c>
      <c r="AE41">
        <v>0</v>
      </c>
      <c r="AF41" t="s">
        <v>524</v>
      </c>
      <c r="AG41">
        <v>0</v>
      </c>
      <c r="AH41">
        <v>0</v>
      </c>
      <c r="AI41" t="s">
        <v>524</v>
      </c>
      <c r="AJ41">
        <v>0</v>
      </c>
      <c r="AK41" t="s">
        <v>525</v>
      </c>
      <c r="AL41">
        <v>0</v>
      </c>
      <c r="AM41" t="s">
        <v>524</v>
      </c>
      <c r="AN41">
        <v>0</v>
      </c>
      <c r="AO41" s="35">
        <v>1100</v>
      </c>
      <c r="AP41" s="35">
        <v>1254.5999999999999</v>
      </c>
      <c r="AQ41" s="35">
        <v>1467.3999999999999</v>
      </c>
      <c r="AR41" s="35">
        <v>1361</v>
      </c>
      <c r="AS41" s="35">
        <v>3145.4</v>
      </c>
      <c r="AT41" s="35">
        <v>2932.6000000000004</v>
      </c>
      <c r="AU41" s="37">
        <v>66.650000000000006</v>
      </c>
      <c r="AV41" s="30">
        <v>71.489999999999995</v>
      </c>
      <c r="AW41" s="30">
        <v>0.38100000000000001</v>
      </c>
      <c r="AX41" s="35">
        <v>0</v>
      </c>
      <c r="AY41" s="30">
        <v>0.28100000000000003</v>
      </c>
      <c r="AZ41" s="35">
        <v>0</v>
      </c>
      <c r="BA41"/>
      <c r="BB41"/>
    </row>
    <row r="42" spans="1:54" x14ac:dyDescent="0.3">
      <c r="A42" t="s">
        <v>346</v>
      </c>
      <c r="B42">
        <v>83.6</v>
      </c>
      <c r="D42">
        <v>0.3</v>
      </c>
      <c r="E42">
        <v>25</v>
      </c>
      <c r="F42">
        <v>258.8</v>
      </c>
      <c r="G42">
        <v>46</v>
      </c>
      <c r="H42">
        <v>46</v>
      </c>
      <c r="I42">
        <v>25</v>
      </c>
      <c r="J42">
        <v>80</v>
      </c>
      <c r="K42">
        <v>80</v>
      </c>
      <c r="L42">
        <v>30</v>
      </c>
      <c r="M42">
        <v>10</v>
      </c>
      <c r="N42">
        <v>80</v>
      </c>
      <c r="O42">
        <v>25</v>
      </c>
      <c r="P42">
        <v>28</v>
      </c>
      <c r="S42" t="b">
        <v>0</v>
      </c>
      <c r="T42" t="b">
        <v>0</v>
      </c>
      <c r="U42" t="s">
        <v>524</v>
      </c>
      <c r="V42">
        <v>4400</v>
      </c>
      <c r="W42">
        <v>4400</v>
      </c>
      <c r="X42">
        <v>0</v>
      </c>
      <c r="Y42">
        <v>9000</v>
      </c>
      <c r="Z42">
        <v>4400</v>
      </c>
      <c r="AA42">
        <v>0</v>
      </c>
      <c r="AB42">
        <v>0</v>
      </c>
      <c r="AC42" t="b">
        <v>1</v>
      </c>
      <c r="AD42">
        <v>0</v>
      </c>
      <c r="AE42">
        <v>0</v>
      </c>
      <c r="AF42" t="s">
        <v>524</v>
      </c>
      <c r="AG42">
        <v>0</v>
      </c>
      <c r="AH42">
        <v>0</v>
      </c>
      <c r="AI42" t="s">
        <v>524</v>
      </c>
      <c r="AJ42">
        <v>0</v>
      </c>
      <c r="AK42" t="s">
        <v>525</v>
      </c>
      <c r="AL42">
        <v>0</v>
      </c>
      <c r="AM42" t="s">
        <v>524</v>
      </c>
      <c r="AN42">
        <v>0</v>
      </c>
      <c r="AO42" s="35">
        <v>1100</v>
      </c>
      <c r="AP42" s="35">
        <v>1254.5999999999999</v>
      </c>
      <c r="AQ42" s="35">
        <v>1467.3999999999999</v>
      </c>
      <c r="AR42" s="35">
        <v>1361</v>
      </c>
      <c r="AS42" s="35">
        <v>3145.4</v>
      </c>
      <c r="AT42" s="35">
        <v>2932.6000000000004</v>
      </c>
      <c r="AU42" s="37">
        <v>66.650000000000006</v>
      </c>
      <c r="AV42" s="30">
        <v>71.489999999999995</v>
      </c>
      <c r="AW42" s="30">
        <v>0.38100000000000001</v>
      </c>
      <c r="AX42" s="35">
        <v>0</v>
      </c>
      <c r="AY42" s="30">
        <v>0.28100000000000003</v>
      </c>
      <c r="AZ42" s="35">
        <v>0</v>
      </c>
      <c r="BA42"/>
      <c r="BB42"/>
    </row>
    <row r="43" spans="1:54" x14ac:dyDescent="0.3">
      <c r="A43" t="s">
        <v>143</v>
      </c>
      <c r="B43">
        <v>41.15</v>
      </c>
      <c r="D43">
        <v>0.7</v>
      </c>
      <c r="E43">
        <v>25</v>
      </c>
      <c r="F43">
        <v>232.44</v>
      </c>
      <c r="G43">
        <v>81</v>
      </c>
      <c r="H43">
        <v>81</v>
      </c>
      <c r="I43">
        <v>25</v>
      </c>
      <c r="J43">
        <v>139</v>
      </c>
      <c r="K43">
        <v>139</v>
      </c>
      <c r="L43">
        <v>30</v>
      </c>
      <c r="M43">
        <v>10</v>
      </c>
      <c r="N43">
        <v>139</v>
      </c>
      <c r="O43">
        <v>31</v>
      </c>
      <c r="P43">
        <v>39</v>
      </c>
      <c r="Q43" t="s">
        <v>619</v>
      </c>
      <c r="R43" t="s">
        <v>620</v>
      </c>
      <c r="S43" t="b">
        <v>0</v>
      </c>
      <c r="T43" t="b">
        <v>0</v>
      </c>
      <c r="U43" t="s">
        <v>524</v>
      </c>
      <c r="V43">
        <v>2166</v>
      </c>
      <c r="W43">
        <v>2166</v>
      </c>
      <c r="X43">
        <v>1592</v>
      </c>
      <c r="Y43">
        <v>2902</v>
      </c>
      <c r="Z43">
        <v>2166</v>
      </c>
      <c r="AA43">
        <v>0</v>
      </c>
      <c r="AB43">
        <v>0</v>
      </c>
      <c r="AC43" t="b">
        <v>0</v>
      </c>
      <c r="AD43">
        <v>600</v>
      </c>
      <c r="AE43">
        <v>0</v>
      </c>
      <c r="AF43" t="s">
        <v>524</v>
      </c>
      <c r="AG43">
        <v>0</v>
      </c>
      <c r="AH43">
        <v>0</v>
      </c>
      <c r="AI43" t="s">
        <v>524</v>
      </c>
      <c r="AJ43">
        <v>0</v>
      </c>
      <c r="AK43" t="s">
        <v>525</v>
      </c>
      <c r="AL43">
        <v>0</v>
      </c>
      <c r="AM43" t="s">
        <v>524</v>
      </c>
      <c r="AN43">
        <v>0</v>
      </c>
      <c r="AO43" s="35">
        <v>671.46</v>
      </c>
      <c r="AP43" s="35">
        <v>818.61</v>
      </c>
      <c r="AQ43" s="35">
        <v>970.05</v>
      </c>
      <c r="AR43" s="35">
        <v>894.32999999999993</v>
      </c>
      <c r="AS43" s="35">
        <v>747.39</v>
      </c>
      <c r="AT43" s="35">
        <v>595.95000000000005</v>
      </c>
      <c r="AU43" s="37">
        <v>27.51</v>
      </c>
      <c r="AV43" s="30">
        <v>34.51</v>
      </c>
      <c r="AW43" s="30">
        <v>0.27700000000000002</v>
      </c>
      <c r="AX43" s="35">
        <v>2165.2399999999998</v>
      </c>
      <c r="AY43" s="30">
        <v>0.17699999999999999</v>
      </c>
      <c r="AZ43" s="35">
        <v>3387.82</v>
      </c>
      <c r="BA43"/>
      <c r="BB43"/>
    </row>
    <row r="44" spans="1:54" x14ac:dyDescent="0.3">
      <c r="A44" t="s">
        <v>144</v>
      </c>
      <c r="B44">
        <v>41.15</v>
      </c>
      <c r="D44">
        <v>0.7</v>
      </c>
      <c r="E44">
        <v>25</v>
      </c>
      <c r="F44">
        <v>232.44</v>
      </c>
      <c r="G44">
        <v>81</v>
      </c>
      <c r="H44">
        <v>81</v>
      </c>
      <c r="I44">
        <v>25</v>
      </c>
      <c r="J44">
        <v>139</v>
      </c>
      <c r="K44">
        <v>139</v>
      </c>
      <c r="L44">
        <v>30</v>
      </c>
      <c r="M44">
        <v>10</v>
      </c>
      <c r="N44">
        <v>139</v>
      </c>
      <c r="O44">
        <v>31</v>
      </c>
      <c r="P44">
        <v>39</v>
      </c>
      <c r="S44" t="b">
        <v>0</v>
      </c>
      <c r="T44" t="b">
        <v>0</v>
      </c>
      <c r="U44" t="s">
        <v>524</v>
      </c>
      <c r="V44">
        <v>2166</v>
      </c>
      <c r="W44">
        <v>2166</v>
      </c>
      <c r="X44">
        <v>1592</v>
      </c>
      <c r="Y44">
        <v>2902</v>
      </c>
      <c r="Z44">
        <v>2166</v>
      </c>
      <c r="AA44">
        <v>0</v>
      </c>
      <c r="AB44">
        <v>0</v>
      </c>
      <c r="AC44" t="b">
        <v>0</v>
      </c>
      <c r="AD44">
        <v>600</v>
      </c>
      <c r="AE44">
        <v>0</v>
      </c>
      <c r="AF44" t="s">
        <v>524</v>
      </c>
      <c r="AG44">
        <v>0</v>
      </c>
      <c r="AH44">
        <v>0</v>
      </c>
      <c r="AI44" t="s">
        <v>524</v>
      </c>
      <c r="AJ44">
        <v>0</v>
      </c>
      <c r="AK44" t="s">
        <v>525</v>
      </c>
      <c r="AL44">
        <v>0</v>
      </c>
      <c r="AM44" t="s">
        <v>524</v>
      </c>
      <c r="AN44">
        <v>0</v>
      </c>
      <c r="AO44" s="35">
        <v>671.46</v>
      </c>
      <c r="AP44" s="35">
        <v>818.61</v>
      </c>
      <c r="AQ44" s="35">
        <v>970.05</v>
      </c>
      <c r="AR44" s="35">
        <v>894.32999999999993</v>
      </c>
      <c r="AS44" s="35">
        <v>747.39</v>
      </c>
      <c r="AT44" s="35">
        <v>595.95000000000005</v>
      </c>
      <c r="AU44" s="37">
        <v>27.51</v>
      </c>
      <c r="AV44" s="30">
        <v>34.51</v>
      </c>
      <c r="AW44" s="30">
        <v>0.27700000000000002</v>
      </c>
      <c r="AX44" s="35">
        <v>2165.2399999999998</v>
      </c>
      <c r="AY44" s="30">
        <v>0.17699999999999999</v>
      </c>
      <c r="AZ44" s="35">
        <v>3387.82</v>
      </c>
      <c r="BA44"/>
      <c r="BB44"/>
    </row>
    <row r="45" spans="1:54" x14ac:dyDescent="0.3">
      <c r="A45" t="s">
        <v>145</v>
      </c>
      <c r="B45">
        <v>41.15</v>
      </c>
      <c r="D45">
        <v>0.7</v>
      </c>
      <c r="E45">
        <v>25</v>
      </c>
      <c r="F45">
        <v>232.44</v>
      </c>
      <c r="G45">
        <v>81</v>
      </c>
      <c r="H45">
        <v>81</v>
      </c>
      <c r="I45">
        <v>25</v>
      </c>
      <c r="J45">
        <v>139</v>
      </c>
      <c r="K45">
        <v>139</v>
      </c>
      <c r="L45">
        <v>30</v>
      </c>
      <c r="M45">
        <v>10</v>
      </c>
      <c r="N45">
        <v>139</v>
      </c>
      <c r="O45">
        <v>31</v>
      </c>
      <c r="P45">
        <v>39</v>
      </c>
      <c r="S45" t="b">
        <v>0</v>
      </c>
      <c r="T45" t="b">
        <v>0</v>
      </c>
      <c r="U45" t="s">
        <v>524</v>
      </c>
      <c r="V45">
        <v>2166</v>
      </c>
      <c r="W45">
        <v>2166</v>
      </c>
      <c r="X45">
        <v>1592</v>
      </c>
      <c r="Y45">
        <v>2902</v>
      </c>
      <c r="Z45">
        <v>2166</v>
      </c>
      <c r="AA45">
        <v>0</v>
      </c>
      <c r="AB45">
        <v>0</v>
      </c>
      <c r="AC45" t="b">
        <v>0</v>
      </c>
      <c r="AD45">
        <v>600</v>
      </c>
      <c r="AE45">
        <v>0</v>
      </c>
      <c r="AF45" t="s">
        <v>524</v>
      </c>
      <c r="AG45">
        <v>0</v>
      </c>
      <c r="AH45">
        <v>0</v>
      </c>
      <c r="AI45" t="s">
        <v>524</v>
      </c>
      <c r="AJ45">
        <v>0</v>
      </c>
      <c r="AK45" t="s">
        <v>525</v>
      </c>
      <c r="AL45">
        <v>0</v>
      </c>
      <c r="AM45" t="s">
        <v>524</v>
      </c>
      <c r="AN45">
        <v>0</v>
      </c>
      <c r="AO45" s="35">
        <v>671.46</v>
      </c>
      <c r="AP45" s="35">
        <v>818.61</v>
      </c>
      <c r="AQ45" s="35">
        <v>970.05</v>
      </c>
      <c r="AR45" s="35">
        <v>894.32999999999993</v>
      </c>
      <c r="AS45" s="35">
        <v>747.39</v>
      </c>
      <c r="AT45" s="35">
        <v>595.95000000000005</v>
      </c>
      <c r="AU45" s="37">
        <v>27.51</v>
      </c>
      <c r="AV45" s="30">
        <v>34.51</v>
      </c>
      <c r="AW45" s="30">
        <v>0.27700000000000002</v>
      </c>
      <c r="AX45" s="35">
        <v>2165.2399999999998</v>
      </c>
      <c r="AY45" s="30">
        <v>0.17699999999999999</v>
      </c>
      <c r="AZ45" s="35">
        <v>3387.82</v>
      </c>
      <c r="BA45"/>
      <c r="BB45"/>
    </row>
    <row r="46" spans="1:54" x14ac:dyDescent="0.3">
      <c r="A46" t="s">
        <v>146</v>
      </c>
      <c r="B46">
        <v>26.87</v>
      </c>
      <c r="D46">
        <v>0.6</v>
      </c>
      <c r="E46">
        <v>25</v>
      </c>
      <c r="F46">
        <v>175.36</v>
      </c>
      <c r="G46">
        <v>66</v>
      </c>
      <c r="H46">
        <v>66</v>
      </c>
      <c r="I46">
        <v>25</v>
      </c>
      <c r="J46">
        <v>116</v>
      </c>
      <c r="K46">
        <v>116</v>
      </c>
      <c r="L46">
        <v>30</v>
      </c>
      <c r="M46">
        <v>10</v>
      </c>
      <c r="N46">
        <v>116</v>
      </c>
      <c r="O46">
        <v>31</v>
      </c>
      <c r="P46">
        <v>39</v>
      </c>
      <c r="Q46" t="s">
        <v>619</v>
      </c>
      <c r="R46" t="s">
        <v>620</v>
      </c>
      <c r="S46" t="b">
        <v>0</v>
      </c>
      <c r="T46" t="b">
        <v>0</v>
      </c>
      <c r="U46" t="s">
        <v>524</v>
      </c>
      <c r="V46">
        <v>1414</v>
      </c>
      <c r="W46">
        <v>1414</v>
      </c>
      <c r="X46">
        <v>1566</v>
      </c>
      <c r="Y46">
        <v>3001</v>
      </c>
      <c r="Z46">
        <v>2092</v>
      </c>
      <c r="AA46">
        <v>0</v>
      </c>
      <c r="AB46">
        <v>0</v>
      </c>
      <c r="AC46" t="b">
        <v>0</v>
      </c>
      <c r="AD46">
        <v>622</v>
      </c>
      <c r="AE46">
        <v>0</v>
      </c>
      <c r="AF46" t="s">
        <v>524</v>
      </c>
      <c r="AG46">
        <v>0</v>
      </c>
      <c r="AH46">
        <v>0</v>
      </c>
      <c r="AI46" t="s">
        <v>524</v>
      </c>
      <c r="AJ46">
        <v>0</v>
      </c>
      <c r="AK46" t="s">
        <v>525</v>
      </c>
      <c r="AL46">
        <v>0</v>
      </c>
      <c r="AM46" t="s">
        <v>524</v>
      </c>
      <c r="AN46">
        <v>0</v>
      </c>
      <c r="AO46" s="35">
        <v>648.52</v>
      </c>
      <c r="AP46" s="35">
        <v>766.39</v>
      </c>
      <c r="AQ46" s="35">
        <v>875.75</v>
      </c>
      <c r="AR46" s="35">
        <v>821.06999999999994</v>
      </c>
      <c r="AS46" s="35">
        <v>703.61</v>
      </c>
      <c r="AT46" s="35">
        <v>594.25</v>
      </c>
      <c r="AU46" s="37">
        <v>28.41</v>
      </c>
      <c r="AV46" s="30">
        <v>33.630000000000003</v>
      </c>
      <c r="AW46" s="30">
        <v>0.29799999999999999</v>
      </c>
      <c r="AX46" s="35">
        <v>2090.62</v>
      </c>
      <c r="AY46" s="30">
        <v>0.19800000000000001</v>
      </c>
      <c r="AZ46" s="35">
        <v>3149.06</v>
      </c>
      <c r="BA46"/>
      <c r="BB46"/>
    </row>
    <row r="47" spans="1:54" x14ac:dyDescent="0.3">
      <c r="A47" t="s">
        <v>147</v>
      </c>
      <c r="B47">
        <v>27.59</v>
      </c>
      <c r="D47">
        <v>0.6</v>
      </c>
      <c r="E47">
        <v>25</v>
      </c>
      <c r="F47">
        <v>176.88</v>
      </c>
      <c r="G47">
        <v>66</v>
      </c>
      <c r="H47">
        <v>66</v>
      </c>
      <c r="I47">
        <v>25</v>
      </c>
      <c r="J47">
        <v>116</v>
      </c>
      <c r="K47">
        <v>116</v>
      </c>
      <c r="L47">
        <v>30</v>
      </c>
      <c r="M47">
        <v>10</v>
      </c>
      <c r="N47">
        <v>116</v>
      </c>
      <c r="O47">
        <v>31</v>
      </c>
      <c r="P47">
        <v>39</v>
      </c>
      <c r="Q47" t="s">
        <v>619</v>
      </c>
      <c r="R47" t="s">
        <v>620</v>
      </c>
      <c r="S47" t="b">
        <v>0</v>
      </c>
      <c r="T47" t="b">
        <v>0</v>
      </c>
      <c r="U47" t="s">
        <v>524</v>
      </c>
      <c r="V47">
        <v>997</v>
      </c>
      <c r="W47">
        <v>1452</v>
      </c>
      <c r="X47">
        <v>1568</v>
      </c>
      <c r="Y47">
        <v>3001</v>
      </c>
      <c r="Z47">
        <v>2096</v>
      </c>
      <c r="AA47">
        <v>0</v>
      </c>
      <c r="AB47">
        <v>0</v>
      </c>
      <c r="AC47" t="b">
        <v>0</v>
      </c>
      <c r="AD47">
        <v>622</v>
      </c>
      <c r="AE47">
        <v>0</v>
      </c>
      <c r="AF47" t="s">
        <v>524</v>
      </c>
      <c r="AG47">
        <v>0</v>
      </c>
      <c r="AH47">
        <v>0</v>
      </c>
      <c r="AI47" t="s">
        <v>524</v>
      </c>
      <c r="AJ47">
        <v>0</v>
      </c>
      <c r="AK47" t="s">
        <v>525</v>
      </c>
      <c r="AL47">
        <v>0</v>
      </c>
      <c r="AM47" t="s">
        <v>524</v>
      </c>
      <c r="AN47">
        <v>0</v>
      </c>
      <c r="AO47" s="35">
        <v>649.76</v>
      </c>
      <c r="AP47" s="35">
        <v>768.35</v>
      </c>
      <c r="AQ47" s="35">
        <v>879.23</v>
      </c>
      <c r="AR47" s="35">
        <v>823.79</v>
      </c>
      <c r="AS47" s="35">
        <v>705.65</v>
      </c>
      <c r="AT47" s="35">
        <v>594.77</v>
      </c>
      <c r="AU47" s="37">
        <v>28.38</v>
      </c>
      <c r="AV47" s="30">
        <v>33.67</v>
      </c>
      <c r="AW47" s="30">
        <v>0.29699999999999999</v>
      </c>
      <c r="AX47" s="35">
        <v>2094.48</v>
      </c>
      <c r="AY47" s="30">
        <v>0.19700000000000001</v>
      </c>
      <c r="AZ47" s="35">
        <v>3157.83</v>
      </c>
      <c r="BA47"/>
      <c r="BB47"/>
    </row>
    <row r="48" spans="1:54" x14ac:dyDescent="0.3">
      <c r="A48" t="s">
        <v>148</v>
      </c>
      <c r="B48">
        <v>23.75</v>
      </c>
      <c r="D48">
        <v>0.6</v>
      </c>
      <c r="E48">
        <v>25</v>
      </c>
      <c r="F48">
        <v>168.8</v>
      </c>
      <c r="G48">
        <v>66</v>
      </c>
      <c r="H48">
        <v>66</v>
      </c>
      <c r="I48">
        <v>25</v>
      </c>
      <c r="J48">
        <v>116</v>
      </c>
      <c r="K48">
        <v>116</v>
      </c>
      <c r="L48">
        <v>30</v>
      </c>
      <c r="M48">
        <v>10</v>
      </c>
      <c r="N48">
        <v>116</v>
      </c>
      <c r="O48">
        <v>31</v>
      </c>
      <c r="P48">
        <v>39</v>
      </c>
      <c r="Q48" t="s">
        <v>619</v>
      </c>
      <c r="R48" t="s">
        <v>620</v>
      </c>
      <c r="S48" t="b">
        <v>0</v>
      </c>
      <c r="T48" t="b">
        <v>0</v>
      </c>
      <c r="U48" t="s">
        <v>524</v>
      </c>
      <c r="V48">
        <v>1250</v>
      </c>
      <c r="W48">
        <v>1250</v>
      </c>
      <c r="X48">
        <v>1557</v>
      </c>
      <c r="Y48">
        <v>3001</v>
      </c>
      <c r="Z48">
        <v>2075</v>
      </c>
      <c r="AA48">
        <v>0</v>
      </c>
      <c r="AB48">
        <v>0</v>
      </c>
      <c r="AC48" t="b">
        <v>0</v>
      </c>
      <c r="AD48">
        <v>622</v>
      </c>
      <c r="AE48">
        <v>0</v>
      </c>
      <c r="AF48" t="s">
        <v>524</v>
      </c>
      <c r="AG48">
        <v>0</v>
      </c>
      <c r="AH48">
        <v>0</v>
      </c>
      <c r="AI48" t="s">
        <v>524</v>
      </c>
      <c r="AJ48">
        <v>0</v>
      </c>
      <c r="AK48" t="s">
        <v>525</v>
      </c>
      <c r="AL48">
        <v>0</v>
      </c>
      <c r="AM48" t="s">
        <v>524</v>
      </c>
      <c r="AN48">
        <v>0</v>
      </c>
      <c r="AO48" s="35">
        <v>643.25</v>
      </c>
      <c r="AP48" s="35">
        <v>758</v>
      </c>
      <c r="AQ48" s="35">
        <v>860.8</v>
      </c>
      <c r="AR48" s="35">
        <v>809.4</v>
      </c>
      <c r="AS48" s="35">
        <v>695</v>
      </c>
      <c r="AT48" s="35">
        <v>592.20000000000005</v>
      </c>
      <c r="AU48" s="37">
        <v>28.54</v>
      </c>
      <c r="AV48" s="30">
        <v>33.49</v>
      </c>
      <c r="AW48" s="30">
        <v>0.3</v>
      </c>
      <c r="AX48" s="35">
        <v>2073.83</v>
      </c>
      <c r="AY48" s="30">
        <v>0.2</v>
      </c>
      <c r="AZ48" s="35">
        <v>3111.12</v>
      </c>
      <c r="BA48"/>
      <c r="BB48"/>
    </row>
    <row r="49" spans="1:54" x14ac:dyDescent="0.3">
      <c r="A49" t="s">
        <v>149</v>
      </c>
      <c r="B49">
        <v>41.21</v>
      </c>
      <c r="D49">
        <v>0.6</v>
      </c>
      <c r="E49">
        <v>25</v>
      </c>
      <c r="F49">
        <v>205.56</v>
      </c>
      <c r="G49">
        <v>66</v>
      </c>
      <c r="H49">
        <v>66</v>
      </c>
      <c r="I49">
        <v>25</v>
      </c>
      <c r="J49">
        <v>116</v>
      </c>
      <c r="K49">
        <v>116</v>
      </c>
      <c r="L49">
        <v>30</v>
      </c>
      <c r="M49">
        <v>10</v>
      </c>
      <c r="N49">
        <v>116</v>
      </c>
      <c r="O49">
        <v>31</v>
      </c>
      <c r="P49">
        <v>39</v>
      </c>
      <c r="S49" t="b">
        <v>0</v>
      </c>
      <c r="T49" t="b">
        <v>0</v>
      </c>
      <c r="U49" t="s">
        <v>524</v>
      </c>
      <c r="V49">
        <v>2169</v>
      </c>
      <c r="W49">
        <v>2169</v>
      </c>
      <c r="X49">
        <v>1609</v>
      </c>
      <c r="Y49">
        <v>3001</v>
      </c>
      <c r="Z49">
        <v>2169</v>
      </c>
      <c r="AA49">
        <v>0</v>
      </c>
      <c r="AB49">
        <v>0</v>
      </c>
      <c r="AC49" t="b">
        <v>0</v>
      </c>
      <c r="AD49">
        <v>622</v>
      </c>
      <c r="AE49">
        <v>0</v>
      </c>
      <c r="AF49" t="s">
        <v>524</v>
      </c>
      <c r="AG49">
        <v>0</v>
      </c>
      <c r="AH49">
        <v>0</v>
      </c>
      <c r="AI49" t="s">
        <v>524</v>
      </c>
      <c r="AJ49">
        <v>0</v>
      </c>
      <c r="AK49" t="s">
        <v>525</v>
      </c>
      <c r="AL49">
        <v>0</v>
      </c>
      <c r="AM49" t="s">
        <v>524</v>
      </c>
      <c r="AN49">
        <v>0</v>
      </c>
      <c r="AO49" s="35">
        <v>672.39</v>
      </c>
      <c r="AP49" s="35">
        <v>804.6</v>
      </c>
      <c r="AQ49" s="35">
        <v>944.16000000000008</v>
      </c>
      <c r="AR49" s="35">
        <v>874.38000000000011</v>
      </c>
      <c r="AS49" s="35">
        <v>742.4</v>
      </c>
      <c r="AT49" s="35">
        <v>602.83999999999992</v>
      </c>
      <c r="AU49" s="37">
        <v>27.79</v>
      </c>
      <c r="AV49" s="30">
        <v>34.229999999999997</v>
      </c>
      <c r="AW49" s="30">
        <v>0.28699999999999998</v>
      </c>
      <c r="AX49" s="35">
        <v>2168.1999999999998</v>
      </c>
      <c r="AY49" s="30">
        <v>0.187</v>
      </c>
      <c r="AZ49" s="35">
        <v>3328.44</v>
      </c>
      <c r="BA49"/>
      <c r="BB49"/>
    </row>
    <row r="50" spans="1:54" x14ac:dyDescent="0.3">
      <c r="A50" t="s">
        <v>150</v>
      </c>
      <c r="B50">
        <v>23.75</v>
      </c>
      <c r="D50">
        <v>0.6</v>
      </c>
      <c r="E50">
        <v>25</v>
      </c>
      <c r="F50">
        <v>168.8</v>
      </c>
      <c r="G50">
        <v>66</v>
      </c>
      <c r="H50">
        <v>66</v>
      </c>
      <c r="I50">
        <v>25</v>
      </c>
      <c r="J50">
        <v>116</v>
      </c>
      <c r="K50">
        <v>116</v>
      </c>
      <c r="L50">
        <v>30</v>
      </c>
      <c r="M50">
        <v>10</v>
      </c>
      <c r="N50">
        <v>116</v>
      </c>
      <c r="O50">
        <v>31</v>
      </c>
      <c r="P50">
        <v>39</v>
      </c>
      <c r="Q50" t="s">
        <v>619</v>
      </c>
      <c r="R50" t="s">
        <v>620</v>
      </c>
      <c r="S50" t="b">
        <v>0</v>
      </c>
      <c r="T50" t="b">
        <v>0</v>
      </c>
      <c r="U50" t="s">
        <v>524</v>
      </c>
      <c r="V50">
        <v>859</v>
      </c>
      <c r="W50">
        <v>1250</v>
      </c>
      <c r="X50">
        <v>1557</v>
      </c>
      <c r="Y50">
        <v>3001</v>
      </c>
      <c r="Z50">
        <v>2075</v>
      </c>
      <c r="AA50">
        <v>0</v>
      </c>
      <c r="AB50">
        <v>0</v>
      </c>
      <c r="AC50" t="b">
        <v>0</v>
      </c>
      <c r="AD50">
        <v>622</v>
      </c>
      <c r="AE50">
        <v>0</v>
      </c>
      <c r="AF50" t="s">
        <v>524</v>
      </c>
      <c r="AG50">
        <v>0</v>
      </c>
      <c r="AH50">
        <v>0</v>
      </c>
      <c r="AI50" t="s">
        <v>524</v>
      </c>
      <c r="AJ50">
        <v>0</v>
      </c>
      <c r="AK50" t="s">
        <v>525</v>
      </c>
      <c r="AL50">
        <v>0</v>
      </c>
      <c r="AM50" t="s">
        <v>524</v>
      </c>
      <c r="AN50">
        <v>0</v>
      </c>
      <c r="AO50" s="35">
        <v>643.25</v>
      </c>
      <c r="AP50" s="35">
        <v>758</v>
      </c>
      <c r="AQ50" s="35">
        <v>860.8</v>
      </c>
      <c r="AR50" s="35">
        <v>809.4</v>
      </c>
      <c r="AS50" s="35">
        <v>695</v>
      </c>
      <c r="AT50" s="35">
        <v>592.20000000000005</v>
      </c>
      <c r="AU50" s="37">
        <v>28.54</v>
      </c>
      <c r="AV50" s="30">
        <v>33.49</v>
      </c>
      <c r="AW50" s="30">
        <v>0.3</v>
      </c>
      <c r="AX50" s="35">
        <v>2073.83</v>
      </c>
      <c r="AY50" s="30">
        <v>0.2</v>
      </c>
      <c r="AZ50" s="35">
        <v>3111.12</v>
      </c>
      <c r="BA50"/>
      <c r="BB50"/>
    </row>
    <row r="51" spans="1:54" x14ac:dyDescent="0.3">
      <c r="A51" t="s">
        <v>151</v>
      </c>
      <c r="B51">
        <v>41.21</v>
      </c>
      <c r="D51">
        <v>0.6</v>
      </c>
      <c r="E51">
        <v>25</v>
      </c>
      <c r="F51">
        <v>205.56</v>
      </c>
      <c r="G51">
        <v>66</v>
      </c>
      <c r="H51">
        <v>66</v>
      </c>
      <c r="I51">
        <v>25</v>
      </c>
      <c r="J51">
        <v>116</v>
      </c>
      <c r="K51">
        <v>116</v>
      </c>
      <c r="L51">
        <v>30</v>
      </c>
      <c r="M51">
        <v>10</v>
      </c>
      <c r="N51">
        <v>116</v>
      </c>
      <c r="O51">
        <v>31</v>
      </c>
      <c r="P51">
        <v>39</v>
      </c>
      <c r="Q51" t="s">
        <v>619</v>
      </c>
      <c r="R51" t="s">
        <v>620</v>
      </c>
      <c r="S51" t="b">
        <v>0</v>
      </c>
      <c r="T51" t="b">
        <v>0</v>
      </c>
      <c r="U51" t="s">
        <v>524</v>
      </c>
      <c r="V51">
        <v>2169</v>
      </c>
      <c r="W51">
        <v>2169</v>
      </c>
      <c r="X51">
        <v>1609</v>
      </c>
      <c r="Y51">
        <v>3001</v>
      </c>
      <c r="Z51">
        <v>2169</v>
      </c>
      <c r="AA51">
        <v>0</v>
      </c>
      <c r="AB51">
        <v>0</v>
      </c>
      <c r="AC51" t="b">
        <v>0</v>
      </c>
      <c r="AD51">
        <v>622</v>
      </c>
      <c r="AE51">
        <v>0</v>
      </c>
      <c r="AF51" t="s">
        <v>524</v>
      </c>
      <c r="AG51">
        <v>0</v>
      </c>
      <c r="AH51">
        <v>0</v>
      </c>
      <c r="AI51" t="s">
        <v>524</v>
      </c>
      <c r="AJ51">
        <v>0</v>
      </c>
      <c r="AK51" t="s">
        <v>525</v>
      </c>
      <c r="AL51">
        <v>0</v>
      </c>
      <c r="AM51" t="s">
        <v>524</v>
      </c>
      <c r="AN51">
        <v>0</v>
      </c>
      <c r="AO51" s="35">
        <v>672.39</v>
      </c>
      <c r="AP51" s="35">
        <v>804.6</v>
      </c>
      <c r="AQ51" s="35">
        <v>944.16000000000008</v>
      </c>
      <c r="AR51" s="35">
        <v>874.38000000000011</v>
      </c>
      <c r="AS51" s="35">
        <v>742.4</v>
      </c>
      <c r="AT51" s="35">
        <v>602.83999999999992</v>
      </c>
      <c r="AU51" s="37">
        <v>27.79</v>
      </c>
      <c r="AV51" s="30">
        <v>34.229999999999997</v>
      </c>
      <c r="AW51" s="30">
        <v>0.28699999999999998</v>
      </c>
      <c r="AX51" s="35">
        <v>2168.1999999999998</v>
      </c>
      <c r="AY51" s="30">
        <v>0.187</v>
      </c>
      <c r="AZ51" s="35">
        <v>3328.44</v>
      </c>
      <c r="BA51"/>
      <c r="BB51"/>
    </row>
    <row r="52" spans="1:54" x14ac:dyDescent="0.3">
      <c r="A52" t="s">
        <v>152</v>
      </c>
      <c r="B52">
        <v>41.21</v>
      </c>
      <c r="D52">
        <v>0.6</v>
      </c>
      <c r="E52">
        <v>25</v>
      </c>
      <c r="F52">
        <v>205.56</v>
      </c>
      <c r="G52">
        <v>66</v>
      </c>
      <c r="H52">
        <v>66</v>
      </c>
      <c r="I52">
        <v>25</v>
      </c>
      <c r="J52">
        <v>116</v>
      </c>
      <c r="K52">
        <v>116</v>
      </c>
      <c r="L52">
        <v>30</v>
      </c>
      <c r="M52">
        <v>10</v>
      </c>
      <c r="N52">
        <v>116</v>
      </c>
      <c r="O52">
        <v>31</v>
      </c>
      <c r="P52">
        <v>39</v>
      </c>
      <c r="Q52" t="s">
        <v>619</v>
      </c>
      <c r="R52" t="s">
        <v>620</v>
      </c>
      <c r="S52" t="b">
        <v>0</v>
      </c>
      <c r="T52" t="b">
        <v>0</v>
      </c>
      <c r="U52" t="s">
        <v>524</v>
      </c>
      <c r="V52">
        <v>1392</v>
      </c>
      <c r="W52">
        <v>2169</v>
      </c>
      <c r="X52">
        <v>1609</v>
      </c>
      <c r="Y52">
        <v>3001</v>
      </c>
      <c r="Z52">
        <v>2169</v>
      </c>
      <c r="AA52">
        <v>0</v>
      </c>
      <c r="AB52">
        <v>0</v>
      </c>
      <c r="AC52" t="b">
        <v>0</v>
      </c>
      <c r="AD52">
        <v>622</v>
      </c>
      <c r="AE52">
        <v>0</v>
      </c>
      <c r="AF52" t="s">
        <v>524</v>
      </c>
      <c r="AG52">
        <v>0</v>
      </c>
      <c r="AH52">
        <v>0</v>
      </c>
      <c r="AI52" t="s">
        <v>524</v>
      </c>
      <c r="AJ52">
        <v>0</v>
      </c>
      <c r="AK52" t="s">
        <v>525</v>
      </c>
      <c r="AL52">
        <v>0</v>
      </c>
      <c r="AM52" t="s">
        <v>524</v>
      </c>
      <c r="AN52">
        <v>0</v>
      </c>
      <c r="AO52" s="35">
        <v>672.39</v>
      </c>
      <c r="AP52" s="35">
        <v>804.6</v>
      </c>
      <c r="AQ52" s="35">
        <v>944.16000000000008</v>
      </c>
      <c r="AR52" s="35">
        <v>874.38000000000011</v>
      </c>
      <c r="AS52" s="35">
        <v>742.4</v>
      </c>
      <c r="AT52" s="35">
        <v>602.83999999999992</v>
      </c>
      <c r="AU52" s="37">
        <v>27.79</v>
      </c>
      <c r="AV52" s="30">
        <v>34.229999999999997</v>
      </c>
      <c r="AW52" s="30">
        <v>0.28699999999999998</v>
      </c>
      <c r="AX52" s="35">
        <v>2168.1999999999998</v>
      </c>
      <c r="AY52" s="30">
        <v>0.187</v>
      </c>
      <c r="AZ52" s="35">
        <v>3328.44</v>
      </c>
      <c r="BA52"/>
      <c r="BB52"/>
    </row>
    <row r="53" spans="1:54" x14ac:dyDescent="0.3">
      <c r="A53" t="s">
        <v>153</v>
      </c>
      <c r="B53">
        <v>29.34</v>
      </c>
      <c r="D53">
        <v>0.6</v>
      </c>
      <c r="E53">
        <v>25</v>
      </c>
      <c r="F53">
        <v>180.56</v>
      </c>
      <c r="G53">
        <v>66</v>
      </c>
      <c r="H53">
        <v>66</v>
      </c>
      <c r="I53">
        <v>25</v>
      </c>
      <c r="J53">
        <v>116</v>
      </c>
      <c r="K53">
        <v>116</v>
      </c>
      <c r="L53">
        <v>30</v>
      </c>
      <c r="M53">
        <v>10</v>
      </c>
      <c r="N53">
        <v>116</v>
      </c>
      <c r="O53">
        <v>31</v>
      </c>
      <c r="P53">
        <v>39</v>
      </c>
      <c r="Q53" t="s">
        <v>619</v>
      </c>
      <c r="R53" t="s">
        <v>620</v>
      </c>
      <c r="S53" t="b">
        <v>0</v>
      </c>
      <c r="T53" t="b">
        <v>0</v>
      </c>
      <c r="U53" t="s">
        <v>524</v>
      </c>
      <c r="V53">
        <v>1544</v>
      </c>
      <c r="W53">
        <v>1544</v>
      </c>
      <c r="X53">
        <v>1574</v>
      </c>
      <c r="Y53">
        <v>3001</v>
      </c>
      <c r="Z53">
        <v>2105</v>
      </c>
      <c r="AA53">
        <v>0</v>
      </c>
      <c r="AB53">
        <v>0</v>
      </c>
      <c r="AC53" t="b">
        <v>0</v>
      </c>
      <c r="AD53">
        <v>622</v>
      </c>
      <c r="AE53">
        <v>0</v>
      </c>
      <c r="AF53" t="s">
        <v>524</v>
      </c>
      <c r="AG53">
        <v>0</v>
      </c>
      <c r="AH53">
        <v>0</v>
      </c>
      <c r="AI53" t="s">
        <v>524</v>
      </c>
      <c r="AJ53">
        <v>0</v>
      </c>
      <c r="AK53" t="s">
        <v>525</v>
      </c>
      <c r="AL53">
        <v>0</v>
      </c>
      <c r="AM53" t="s">
        <v>524</v>
      </c>
      <c r="AN53">
        <v>0</v>
      </c>
      <c r="AO53" s="35">
        <v>652.54999999999995</v>
      </c>
      <c r="AP53" s="35">
        <v>772.89</v>
      </c>
      <c r="AQ53" s="35">
        <v>887.45</v>
      </c>
      <c r="AR53" s="35">
        <v>830.17000000000007</v>
      </c>
      <c r="AS53" s="35">
        <v>710.11</v>
      </c>
      <c r="AT53" s="35">
        <v>595.54999999999995</v>
      </c>
      <c r="AU53" s="37">
        <v>28.29</v>
      </c>
      <c r="AV53" s="30">
        <v>33.729999999999997</v>
      </c>
      <c r="AW53" s="30">
        <v>0.29599999999999999</v>
      </c>
      <c r="AX53" s="35">
        <v>2104.0500000000002</v>
      </c>
      <c r="AY53" s="30">
        <v>0.19600000000000001</v>
      </c>
      <c r="AZ53" s="35">
        <v>3179.63</v>
      </c>
      <c r="BA53"/>
      <c r="BB53"/>
    </row>
    <row r="54" spans="1:54" x14ac:dyDescent="0.3">
      <c r="A54" t="s">
        <v>350</v>
      </c>
      <c r="B54">
        <v>41.8</v>
      </c>
      <c r="D54">
        <v>0.6</v>
      </c>
      <c r="E54">
        <v>25</v>
      </c>
      <c r="F54">
        <v>206.8</v>
      </c>
      <c r="G54">
        <v>66</v>
      </c>
      <c r="H54">
        <v>66</v>
      </c>
      <c r="I54">
        <v>25</v>
      </c>
      <c r="J54">
        <v>116</v>
      </c>
      <c r="K54">
        <v>116</v>
      </c>
      <c r="L54">
        <v>30</v>
      </c>
      <c r="M54">
        <v>10</v>
      </c>
      <c r="N54">
        <v>116</v>
      </c>
      <c r="O54">
        <v>31</v>
      </c>
      <c r="P54">
        <v>39</v>
      </c>
      <c r="S54" t="b">
        <v>0</v>
      </c>
      <c r="T54" t="b">
        <v>0</v>
      </c>
      <c r="U54" t="s">
        <v>524</v>
      </c>
      <c r="V54">
        <v>2200</v>
      </c>
      <c r="W54">
        <v>2200</v>
      </c>
      <c r="X54">
        <v>0</v>
      </c>
      <c r="Y54">
        <v>0</v>
      </c>
      <c r="Z54">
        <v>2200</v>
      </c>
      <c r="AA54">
        <v>0</v>
      </c>
      <c r="AB54">
        <v>0</v>
      </c>
      <c r="AC54" t="b">
        <v>1</v>
      </c>
      <c r="AD54">
        <v>0</v>
      </c>
      <c r="AE54">
        <v>0</v>
      </c>
      <c r="AF54" t="s">
        <v>524</v>
      </c>
      <c r="AG54">
        <v>0</v>
      </c>
      <c r="AH54">
        <v>0</v>
      </c>
      <c r="AI54" t="s">
        <v>524</v>
      </c>
      <c r="AJ54">
        <v>0</v>
      </c>
      <c r="AK54" t="s">
        <v>525</v>
      </c>
      <c r="AL54">
        <v>0</v>
      </c>
      <c r="AM54" t="s">
        <v>524</v>
      </c>
      <c r="AN54">
        <v>0</v>
      </c>
      <c r="AO54" s="35">
        <v>682</v>
      </c>
      <c r="AP54" s="35">
        <v>814.8</v>
      </c>
      <c r="AQ54" s="35">
        <v>955.59999999999991</v>
      </c>
      <c r="AR54" s="35">
        <v>885.19999999999993</v>
      </c>
      <c r="AS54" s="35">
        <v>1385.2</v>
      </c>
      <c r="AT54" s="35">
        <v>1244.4000000000001</v>
      </c>
      <c r="AU54" s="37">
        <v>56.56</v>
      </c>
      <c r="AV54" s="30">
        <v>62.96</v>
      </c>
      <c r="AW54" s="30">
        <v>0.28799999999999998</v>
      </c>
      <c r="AX54" s="35">
        <v>0</v>
      </c>
      <c r="AY54" s="30">
        <v>0.188</v>
      </c>
      <c r="AZ54" s="35">
        <v>0</v>
      </c>
      <c r="BA54"/>
      <c r="BB54"/>
    </row>
    <row r="55" spans="1:54" x14ac:dyDescent="0.3">
      <c r="A55" t="s">
        <v>154</v>
      </c>
      <c r="B55">
        <v>41.21</v>
      </c>
      <c r="D55">
        <v>0.6</v>
      </c>
      <c r="E55">
        <v>25</v>
      </c>
      <c r="F55">
        <v>205.56</v>
      </c>
      <c r="G55">
        <v>66</v>
      </c>
      <c r="H55">
        <v>66</v>
      </c>
      <c r="I55">
        <v>25</v>
      </c>
      <c r="J55">
        <v>116</v>
      </c>
      <c r="K55">
        <v>116</v>
      </c>
      <c r="L55">
        <v>30</v>
      </c>
      <c r="M55">
        <v>10</v>
      </c>
      <c r="N55">
        <v>116</v>
      </c>
      <c r="O55">
        <v>31</v>
      </c>
      <c r="P55">
        <v>39</v>
      </c>
      <c r="S55" t="b">
        <v>0</v>
      </c>
      <c r="T55" t="b">
        <v>0</v>
      </c>
      <c r="U55" t="s">
        <v>524</v>
      </c>
      <c r="V55">
        <v>2169</v>
      </c>
      <c r="W55">
        <v>2169</v>
      </c>
      <c r="X55">
        <v>1609</v>
      </c>
      <c r="Y55">
        <v>3001</v>
      </c>
      <c r="Z55">
        <v>2169</v>
      </c>
      <c r="AA55">
        <v>0</v>
      </c>
      <c r="AB55">
        <v>0</v>
      </c>
      <c r="AC55" t="b">
        <v>0</v>
      </c>
      <c r="AD55">
        <v>622</v>
      </c>
      <c r="AE55">
        <v>0</v>
      </c>
      <c r="AF55" t="s">
        <v>524</v>
      </c>
      <c r="AG55">
        <v>0</v>
      </c>
      <c r="AH55">
        <v>0</v>
      </c>
      <c r="AI55" t="s">
        <v>524</v>
      </c>
      <c r="AJ55">
        <v>0</v>
      </c>
      <c r="AK55" t="s">
        <v>525</v>
      </c>
      <c r="AL55">
        <v>0</v>
      </c>
      <c r="AM55" t="s">
        <v>524</v>
      </c>
      <c r="AN55">
        <v>0</v>
      </c>
      <c r="AO55" s="35">
        <v>672.39</v>
      </c>
      <c r="AP55" s="35">
        <v>804.6</v>
      </c>
      <c r="AQ55" s="35">
        <v>944.16000000000008</v>
      </c>
      <c r="AR55" s="35">
        <v>874.38000000000011</v>
      </c>
      <c r="AS55" s="35">
        <v>742.4</v>
      </c>
      <c r="AT55" s="35">
        <v>602.83999999999992</v>
      </c>
      <c r="AU55" s="37">
        <v>27.79</v>
      </c>
      <c r="AV55" s="30">
        <v>34.229999999999997</v>
      </c>
      <c r="AW55" s="30">
        <v>0.28699999999999998</v>
      </c>
      <c r="AX55" s="35">
        <v>2168.1999999999998</v>
      </c>
      <c r="AY55" s="30">
        <v>0.187</v>
      </c>
      <c r="AZ55" s="35">
        <v>3328.44</v>
      </c>
      <c r="BA55"/>
      <c r="BB55"/>
    </row>
    <row r="56" spans="1:54" x14ac:dyDescent="0.3">
      <c r="A56" t="s">
        <v>155</v>
      </c>
      <c r="B56">
        <v>19.29</v>
      </c>
      <c r="D56">
        <v>0.3</v>
      </c>
      <c r="E56">
        <v>25</v>
      </c>
      <c r="F56">
        <v>141.4</v>
      </c>
      <c r="G56">
        <v>56</v>
      </c>
      <c r="H56">
        <v>56</v>
      </c>
      <c r="I56">
        <v>25</v>
      </c>
      <c r="J56">
        <v>98</v>
      </c>
      <c r="K56">
        <v>98</v>
      </c>
      <c r="L56">
        <v>30</v>
      </c>
      <c r="M56">
        <v>10</v>
      </c>
      <c r="N56">
        <v>98</v>
      </c>
      <c r="O56">
        <v>31</v>
      </c>
      <c r="P56">
        <v>39</v>
      </c>
      <c r="Q56" t="s">
        <v>619</v>
      </c>
      <c r="R56" t="s">
        <v>620</v>
      </c>
      <c r="S56" t="b">
        <v>0</v>
      </c>
      <c r="T56" t="b">
        <v>0</v>
      </c>
      <c r="U56" t="s">
        <v>524</v>
      </c>
      <c r="V56">
        <v>690</v>
      </c>
      <c r="W56">
        <v>1015</v>
      </c>
      <c r="X56">
        <v>933</v>
      </c>
      <c r="Y56">
        <v>1741</v>
      </c>
      <c r="Z56">
        <v>1281</v>
      </c>
      <c r="AA56">
        <v>0</v>
      </c>
      <c r="AB56">
        <v>0</v>
      </c>
      <c r="AC56" t="b">
        <v>0</v>
      </c>
      <c r="AD56">
        <v>343</v>
      </c>
      <c r="AE56">
        <v>485</v>
      </c>
      <c r="AF56" t="s">
        <v>524</v>
      </c>
      <c r="AG56">
        <v>1.23</v>
      </c>
      <c r="AH56">
        <v>0</v>
      </c>
      <c r="AI56" t="s">
        <v>524</v>
      </c>
      <c r="AJ56">
        <v>0</v>
      </c>
      <c r="AK56" t="s">
        <v>526</v>
      </c>
      <c r="AL56">
        <v>0</v>
      </c>
      <c r="AM56" t="s">
        <v>524</v>
      </c>
      <c r="AN56">
        <v>0</v>
      </c>
      <c r="AO56" s="35">
        <v>397.11</v>
      </c>
      <c r="AP56" s="35">
        <v>497.40000000000003</v>
      </c>
      <c r="AQ56" s="35">
        <v>582.80000000000007</v>
      </c>
      <c r="AR56" s="35">
        <v>540.1</v>
      </c>
      <c r="AS56" s="35">
        <v>440.59999999999997</v>
      </c>
      <c r="AT56" s="35">
        <v>355.19999999999993</v>
      </c>
      <c r="AU56" s="37">
        <v>27.73</v>
      </c>
      <c r="AV56" s="30">
        <v>34.4</v>
      </c>
      <c r="AW56" s="30">
        <v>0.26800000000000002</v>
      </c>
      <c r="AX56" s="35">
        <v>1278.06</v>
      </c>
      <c r="AY56" s="30">
        <v>0.16800000000000001</v>
      </c>
      <c r="AZ56" s="35">
        <v>2037.1</v>
      </c>
      <c r="BA56"/>
      <c r="BB56"/>
    </row>
    <row r="57" spans="1:54" x14ac:dyDescent="0.3">
      <c r="A57" t="s">
        <v>156</v>
      </c>
      <c r="B57">
        <v>27.63</v>
      </c>
      <c r="D57">
        <v>0.4</v>
      </c>
      <c r="E57">
        <v>25</v>
      </c>
      <c r="F57">
        <v>158.96</v>
      </c>
      <c r="G57">
        <v>56</v>
      </c>
      <c r="H57">
        <v>56</v>
      </c>
      <c r="I57">
        <v>25</v>
      </c>
      <c r="J57">
        <v>98</v>
      </c>
      <c r="K57">
        <v>98</v>
      </c>
      <c r="L57">
        <v>30</v>
      </c>
      <c r="M57">
        <v>10</v>
      </c>
      <c r="N57">
        <v>98</v>
      </c>
      <c r="O57">
        <v>31</v>
      </c>
      <c r="P57">
        <v>39</v>
      </c>
      <c r="Q57" t="s">
        <v>619</v>
      </c>
      <c r="R57" t="s">
        <v>620</v>
      </c>
      <c r="S57" t="b">
        <v>0</v>
      </c>
      <c r="T57" t="b">
        <v>0</v>
      </c>
      <c r="U57" t="s">
        <v>524</v>
      </c>
      <c r="V57">
        <v>1454</v>
      </c>
      <c r="W57">
        <v>1454</v>
      </c>
      <c r="X57">
        <v>1061</v>
      </c>
      <c r="Y57">
        <v>1963</v>
      </c>
      <c r="Z57">
        <v>1454</v>
      </c>
      <c r="AA57">
        <v>0</v>
      </c>
      <c r="AB57">
        <v>0</v>
      </c>
      <c r="AC57" t="b">
        <v>0</v>
      </c>
      <c r="AD57">
        <v>392</v>
      </c>
      <c r="AE57">
        <v>0</v>
      </c>
      <c r="AF57" t="s">
        <v>524</v>
      </c>
      <c r="AG57">
        <v>0</v>
      </c>
      <c r="AH57">
        <v>0</v>
      </c>
      <c r="AI57" t="s">
        <v>524</v>
      </c>
      <c r="AJ57">
        <v>0</v>
      </c>
      <c r="AK57" t="s">
        <v>525</v>
      </c>
      <c r="AL57">
        <v>0</v>
      </c>
      <c r="AM57" t="s">
        <v>524</v>
      </c>
      <c r="AN57">
        <v>0</v>
      </c>
      <c r="AO57" s="35">
        <v>450.74</v>
      </c>
      <c r="AP57" s="35">
        <v>559.37</v>
      </c>
      <c r="AQ57" s="35">
        <v>662.33</v>
      </c>
      <c r="AR57" s="35">
        <v>610.85</v>
      </c>
      <c r="AS57" s="35">
        <v>502.63</v>
      </c>
      <c r="AT57" s="35">
        <v>399.66999999999996</v>
      </c>
      <c r="AU57" s="37">
        <v>27.49</v>
      </c>
      <c r="AV57" s="30">
        <v>34.57</v>
      </c>
      <c r="AW57" s="30">
        <v>0.27</v>
      </c>
      <c r="AX57" s="35">
        <v>1452.48</v>
      </c>
      <c r="AY57" s="30">
        <v>0.17</v>
      </c>
      <c r="AZ57" s="35">
        <v>2307.4699999999998</v>
      </c>
      <c r="BA57"/>
      <c r="BB57"/>
    </row>
    <row r="58" spans="1:54" x14ac:dyDescent="0.3">
      <c r="A58" t="s">
        <v>157</v>
      </c>
      <c r="B58">
        <v>26.6</v>
      </c>
      <c r="D58">
        <v>0.3</v>
      </c>
      <c r="E58">
        <v>25</v>
      </c>
      <c r="F58">
        <v>156.80000000000001</v>
      </c>
      <c r="G58">
        <v>56</v>
      </c>
      <c r="H58">
        <v>56</v>
      </c>
      <c r="I58">
        <v>25</v>
      </c>
      <c r="J58">
        <v>98</v>
      </c>
      <c r="K58">
        <v>98</v>
      </c>
      <c r="L58">
        <v>30</v>
      </c>
      <c r="M58">
        <v>10</v>
      </c>
      <c r="N58">
        <v>98</v>
      </c>
      <c r="O58">
        <v>31</v>
      </c>
      <c r="P58">
        <v>39</v>
      </c>
      <c r="Q58" t="s">
        <v>619</v>
      </c>
      <c r="R58" t="s">
        <v>620</v>
      </c>
      <c r="S58" t="b">
        <v>0</v>
      </c>
      <c r="T58" t="b">
        <v>0</v>
      </c>
      <c r="U58" t="s">
        <v>524</v>
      </c>
      <c r="V58">
        <v>990</v>
      </c>
      <c r="W58">
        <v>1400</v>
      </c>
      <c r="X58">
        <v>933</v>
      </c>
      <c r="Y58">
        <v>1741</v>
      </c>
      <c r="Z58">
        <v>1400</v>
      </c>
      <c r="AA58">
        <v>0</v>
      </c>
      <c r="AB58">
        <v>0</v>
      </c>
      <c r="AC58" t="b">
        <v>0</v>
      </c>
      <c r="AD58">
        <v>343</v>
      </c>
      <c r="AE58">
        <v>436</v>
      </c>
      <c r="AF58" t="s">
        <v>524</v>
      </c>
      <c r="AG58">
        <v>1.52</v>
      </c>
      <c r="AH58">
        <v>423</v>
      </c>
      <c r="AI58" t="s">
        <v>524</v>
      </c>
      <c r="AJ58">
        <v>1.53</v>
      </c>
      <c r="AK58" t="s">
        <v>526</v>
      </c>
      <c r="AL58">
        <v>517</v>
      </c>
      <c r="AM58" t="s">
        <v>524</v>
      </c>
      <c r="AN58">
        <v>1.43</v>
      </c>
      <c r="AO58" s="35">
        <v>434</v>
      </c>
      <c r="AP58" s="35">
        <v>541.6</v>
      </c>
      <c r="AQ58" s="35">
        <v>642.40000000000009</v>
      </c>
      <c r="AR58" s="35">
        <v>592</v>
      </c>
      <c r="AS58" s="35">
        <v>515.4</v>
      </c>
      <c r="AT58" s="35">
        <v>414.59999999999991</v>
      </c>
      <c r="AU58" s="37">
        <v>29.61</v>
      </c>
      <c r="AV58" s="30">
        <v>36.81</v>
      </c>
      <c r="AW58" s="30">
        <v>0.26700000000000002</v>
      </c>
      <c r="AX58" s="35">
        <v>1283.96</v>
      </c>
      <c r="AY58" s="30">
        <v>0.16700000000000001</v>
      </c>
      <c r="AZ58" s="35">
        <v>2052.14</v>
      </c>
      <c r="BA58"/>
      <c r="BB58"/>
    </row>
    <row r="59" spans="1:54" x14ac:dyDescent="0.3">
      <c r="A59" t="s">
        <v>158</v>
      </c>
      <c r="B59">
        <v>15.05</v>
      </c>
      <c r="D59">
        <v>0.3</v>
      </c>
      <c r="E59">
        <v>25</v>
      </c>
      <c r="F59">
        <v>132.47999999999999</v>
      </c>
      <c r="G59">
        <v>56</v>
      </c>
      <c r="H59">
        <v>56</v>
      </c>
      <c r="I59">
        <v>25</v>
      </c>
      <c r="J59">
        <v>98</v>
      </c>
      <c r="K59">
        <v>98</v>
      </c>
      <c r="L59">
        <v>30</v>
      </c>
      <c r="M59">
        <v>10</v>
      </c>
      <c r="N59">
        <v>98</v>
      </c>
      <c r="O59">
        <v>31</v>
      </c>
      <c r="P59">
        <v>39</v>
      </c>
      <c r="Q59" t="s">
        <v>619</v>
      </c>
      <c r="R59" t="s">
        <v>620</v>
      </c>
      <c r="S59" t="b">
        <v>0</v>
      </c>
      <c r="T59" t="b">
        <v>0</v>
      </c>
      <c r="U59" t="s">
        <v>524</v>
      </c>
      <c r="V59">
        <v>529</v>
      </c>
      <c r="W59">
        <v>792</v>
      </c>
      <c r="X59">
        <v>921</v>
      </c>
      <c r="Y59">
        <v>1741</v>
      </c>
      <c r="Z59">
        <v>1258</v>
      </c>
      <c r="AA59">
        <v>0</v>
      </c>
      <c r="AB59">
        <v>0</v>
      </c>
      <c r="AC59" t="b">
        <v>0</v>
      </c>
      <c r="AD59">
        <v>343</v>
      </c>
      <c r="AE59">
        <v>517</v>
      </c>
      <c r="AF59" t="s">
        <v>524</v>
      </c>
      <c r="AG59">
        <v>0.92</v>
      </c>
      <c r="AH59">
        <v>540</v>
      </c>
      <c r="AI59" t="s">
        <v>524</v>
      </c>
      <c r="AJ59">
        <v>0.89</v>
      </c>
      <c r="AK59" t="s">
        <v>653</v>
      </c>
      <c r="AL59">
        <v>517</v>
      </c>
      <c r="AM59" t="s">
        <v>524</v>
      </c>
      <c r="AN59">
        <v>0.92</v>
      </c>
      <c r="AO59" s="35">
        <v>389.98</v>
      </c>
      <c r="AP59" s="35">
        <v>486.03000000000003</v>
      </c>
      <c r="AQ59" s="35">
        <v>562.51</v>
      </c>
      <c r="AR59" s="35">
        <v>524.27</v>
      </c>
      <c r="AS59" s="35">
        <v>428.96999999999997</v>
      </c>
      <c r="AT59" s="35">
        <v>352.49</v>
      </c>
      <c r="AU59" s="37">
        <v>28.02</v>
      </c>
      <c r="AV59" s="30">
        <v>34.1</v>
      </c>
      <c r="AW59" s="30">
        <v>0.27300000000000002</v>
      </c>
      <c r="AX59" s="35">
        <v>1255.26</v>
      </c>
      <c r="AY59" s="30">
        <v>0.17299999999999999</v>
      </c>
      <c r="AZ59" s="35">
        <v>1979.78</v>
      </c>
      <c r="BA59"/>
      <c r="BB59"/>
    </row>
    <row r="60" spans="1:54" x14ac:dyDescent="0.3">
      <c r="A60" t="s">
        <v>159</v>
      </c>
      <c r="B60">
        <v>14.54</v>
      </c>
      <c r="D60">
        <v>0.4</v>
      </c>
      <c r="E60">
        <v>25</v>
      </c>
      <c r="F60">
        <v>131.4</v>
      </c>
      <c r="G60">
        <v>56</v>
      </c>
      <c r="H60">
        <v>56</v>
      </c>
      <c r="I60">
        <v>25</v>
      </c>
      <c r="J60">
        <v>98</v>
      </c>
      <c r="K60">
        <v>98</v>
      </c>
      <c r="L60">
        <v>30</v>
      </c>
      <c r="M60">
        <v>10</v>
      </c>
      <c r="N60">
        <v>98</v>
      </c>
      <c r="O60">
        <v>31</v>
      </c>
      <c r="P60">
        <v>39</v>
      </c>
      <c r="Q60" t="s">
        <v>619</v>
      </c>
      <c r="R60" t="s">
        <v>620</v>
      </c>
      <c r="S60" t="b">
        <v>0</v>
      </c>
      <c r="T60" t="b">
        <v>0</v>
      </c>
      <c r="U60" t="s">
        <v>524</v>
      </c>
      <c r="V60">
        <v>511</v>
      </c>
      <c r="W60">
        <v>765</v>
      </c>
      <c r="X60">
        <v>1023</v>
      </c>
      <c r="Y60">
        <v>1963</v>
      </c>
      <c r="Z60">
        <v>1384</v>
      </c>
      <c r="AA60">
        <v>0</v>
      </c>
      <c r="AB60">
        <v>0</v>
      </c>
      <c r="AC60" t="b">
        <v>0</v>
      </c>
      <c r="AD60">
        <v>392</v>
      </c>
      <c r="AE60">
        <v>0</v>
      </c>
      <c r="AF60" t="s">
        <v>524</v>
      </c>
      <c r="AG60">
        <v>0</v>
      </c>
      <c r="AH60">
        <v>0</v>
      </c>
      <c r="AI60" t="s">
        <v>524</v>
      </c>
      <c r="AJ60">
        <v>0</v>
      </c>
      <c r="AK60" t="s">
        <v>525</v>
      </c>
      <c r="AL60">
        <v>0</v>
      </c>
      <c r="AM60" t="s">
        <v>524</v>
      </c>
      <c r="AN60">
        <v>0</v>
      </c>
      <c r="AO60" s="35">
        <v>429.04</v>
      </c>
      <c r="AP60" s="35">
        <v>524.58000000000004</v>
      </c>
      <c r="AQ60" s="35">
        <v>599.98</v>
      </c>
      <c r="AR60" s="35">
        <v>562.28</v>
      </c>
      <c r="AS60" s="35">
        <v>467.41999999999996</v>
      </c>
      <c r="AT60" s="35">
        <v>392.02</v>
      </c>
      <c r="AU60" s="37">
        <v>28.33</v>
      </c>
      <c r="AV60" s="30">
        <v>33.770000000000003</v>
      </c>
      <c r="AW60" s="30">
        <v>0.28399999999999997</v>
      </c>
      <c r="AX60" s="35">
        <v>1381.6</v>
      </c>
      <c r="AY60" s="30">
        <v>0.184</v>
      </c>
      <c r="AZ60" s="35">
        <v>2133.59</v>
      </c>
      <c r="BA60"/>
      <c r="BB60"/>
    </row>
    <row r="61" spans="1:54" x14ac:dyDescent="0.3">
      <c r="A61" t="s">
        <v>160</v>
      </c>
      <c r="B61">
        <v>27.63</v>
      </c>
      <c r="D61">
        <v>0.4</v>
      </c>
      <c r="E61">
        <v>25</v>
      </c>
      <c r="F61">
        <v>158.96</v>
      </c>
      <c r="G61">
        <v>56</v>
      </c>
      <c r="H61">
        <v>56</v>
      </c>
      <c r="I61">
        <v>25</v>
      </c>
      <c r="J61">
        <v>98</v>
      </c>
      <c r="K61">
        <v>98</v>
      </c>
      <c r="L61">
        <v>30</v>
      </c>
      <c r="M61">
        <v>10</v>
      </c>
      <c r="N61">
        <v>98</v>
      </c>
      <c r="O61">
        <v>31</v>
      </c>
      <c r="P61">
        <v>39</v>
      </c>
      <c r="Q61" t="s">
        <v>619</v>
      </c>
      <c r="R61" t="s">
        <v>620</v>
      </c>
      <c r="S61" t="b">
        <v>0</v>
      </c>
      <c r="T61" t="b">
        <v>0</v>
      </c>
      <c r="U61" t="s">
        <v>524</v>
      </c>
      <c r="V61">
        <v>999</v>
      </c>
      <c r="W61">
        <v>1454</v>
      </c>
      <c r="X61">
        <v>1061</v>
      </c>
      <c r="Y61">
        <v>1963</v>
      </c>
      <c r="Z61">
        <v>1454</v>
      </c>
      <c r="AA61">
        <v>0</v>
      </c>
      <c r="AB61">
        <v>0</v>
      </c>
      <c r="AC61" t="b">
        <v>0</v>
      </c>
      <c r="AD61">
        <v>392</v>
      </c>
      <c r="AE61">
        <v>0</v>
      </c>
      <c r="AF61" t="s">
        <v>524</v>
      </c>
      <c r="AG61">
        <v>0</v>
      </c>
      <c r="AH61">
        <v>0</v>
      </c>
      <c r="AI61" t="s">
        <v>524</v>
      </c>
      <c r="AJ61">
        <v>0</v>
      </c>
      <c r="AK61" t="s">
        <v>525</v>
      </c>
      <c r="AL61">
        <v>0</v>
      </c>
      <c r="AM61" t="s">
        <v>524</v>
      </c>
      <c r="AN61">
        <v>0</v>
      </c>
      <c r="AO61" s="35">
        <v>450.74</v>
      </c>
      <c r="AP61" s="35">
        <v>559.37</v>
      </c>
      <c r="AQ61" s="35">
        <v>662.33</v>
      </c>
      <c r="AR61" s="35">
        <v>610.85</v>
      </c>
      <c r="AS61" s="35">
        <v>502.63</v>
      </c>
      <c r="AT61" s="35">
        <v>399.66999999999996</v>
      </c>
      <c r="AU61" s="37">
        <v>27.49</v>
      </c>
      <c r="AV61" s="30">
        <v>34.57</v>
      </c>
      <c r="AW61" s="30">
        <v>0.27</v>
      </c>
      <c r="AX61" s="35">
        <v>1452.48</v>
      </c>
      <c r="AY61" s="30">
        <v>0.17</v>
      </c>
      <c r="AZ61" s="35">
        <v>2307.4699999999998</v>
      </c>
      <c r="BA61"/>
      <c r="BB61"/>
    </row>
    <row r="62" spans="1:54" x14ac:dyDescent="0.3">
      <c r="A62" t="s">
        <v>161</v>
      </c>
      <c r="B62">
        <v>65.510000000000005</v>
      </c>
      <c r="D62">
        <v>0.3</v>
      </c>
      <c r="E62">
        <v>25</v>
      </c>
      <c r="F62">
        <v>220.72</v>
      </c>
      <c r="G62">
        <v>46</v>
      </c>
      <c r="H62">
        <v>46</v>
      </c>
      <c r="I62">
        <v>25</v>
      </c>
      <c r="J62">
        <v>80</v>
      </c>
      <c r="K62">
        <v>80</v>
      </c>
      <c r="L62">
        <v>30</v>
      </c>
      <c r="M62">
        <v>10</v>
      </c>
      <c r="N62">
        <v>80</v>
      </c>
      <c r="O62">
        <v>25</v>
      </c>
      <c r="P62">
        <v>28</v>
      </c>
      <c r="Q62" t="s">
        <v>619</v>
      </c>
      <c r="R62" t="s">
        <v>620</v>
      </c>
      <c r="S62" t="b">
        <v>0</v>
      </c>
      <c r="T62" t="b">
        <v>1</v>
      </c>
      <c r="U62" t="s">
        <v>524</v>
      </c>
      <c r="V62">
        <v>2663</v>
      </c>
      <c r="W62">
        <v>3448</v>
      </c>
      <c r="X62">
        <v>3934</v>
      </c>
      <c r="Y62">
        <v>7235</v>
      </c>
      <c r="Z62">
        <v>5256</v>
      </c>
      <c r="AA62">
        <v>0</v>
      </c>
      <c r="AB62">
        <v>0</v>
      </c>
      <c r="AC62" t="b">
        <v>1</v>
      </c>
      <c r="AD62">
        <v>1563</v>
      </c>
      <c r="AE62">
        <v>0</v>
      </c>
      <c r="AF62" t="s">
        <v>524</v>
      </c>
      <c r="AG62">
        <v>0</v>
      </c>
      <c r="AH62">
        <v>0</v>
      </c>
      <c r="AI62" t="s">
        <v>524</v>
      </c>
      <c r="AJ62">
        <v>0</v>
      </c>
      <c r="AK62" t="s">
        <v>525</v>
      </c>
      <c r="AL62">
        <v>0</v>
      </c>
      <c r="AM62" t="s">
        <v>524</v>
      </c>
      <c r="AN62">
        <v>0</v>
      </c>
      <c r="AO62" s="35">
        <v>1314</v>
      </c>
      <c r="AP62" s="35">
        <v>1450.51</v>
      </c>
      <c r="AQ62" s="35">
        <v>1625.23</v>
      </c>
      <c r="AR62" s="35">
        <v>1537.87</v>
      </c>
      <c r="AS62" s="35">
        <v>2242.4899999999998</v>
      </c>
      <c r="AT62" s="35">
        <v>2067.77</v>
      </c>
      <c r="AU62" s="37">
        <v>39.340000000000003</v>
      </c>
      <c r="AV62" s="30">
        <v>42.67</v>
      </c>
      <c r="AW62" s="30">
        <v>0.39700000000000002</v>
      </c>
      <c r="AX62" s="35">
        <v>3933</v>
      </c>
      <c r="AY62" s="30">
        <v>0.29699999999999999</v>
      </c>
      <c r="AZ62" s="35">
        <v>5255.43</v>
      </c>
      <c r="BA62"/>
      <c r="BB62"/>
    </row>
    <row r="63" spans="1:54" x14ac:dyDescent="0.3">
      <c r="A63" t="s">
        <v>162</v>
      </c>
      <c r="B63">
        <v>104.31</v>
      </c>
      <c r="D63">
        <v>0.3</v>
      </c>
      <c r="E63">
        <v>25</v>
      </c>
      <c r="F63">
        <v>302.39999999999998</v>
      </c>
      <c r="G63">
        <v>46</v>
      </c>
      <c r="H63">
        <v>46</v>
      </c>
      <c r="I63">
        <v>25</v>
      </c>
      <c r="J63">
        <v>80</v>
      </c>
      <c r="K63">
        <v>80</v>
      </c>
      <c r="L63">
        <v>30</v>
      </c>
      <c r="M63">
        <v>10</v>
      </c>
      <c r="N63">
        <v>80</v>
      </c>
      <c r="O63">
        <v>25</v>
      </c>
      <c r="P63">
        <v>28</v>
      </c>
      <c r="Q63" t="s">
        <v>619</v>
      </c>
      <c r="R63" t="s">
        <v>620</v>
      </c>
      <c r="S63" t="b">
        <v>0</v>
      </c>
      <c r="T63" t="b">
        <v>1</v>
      </c>
      <c r="U63" t="s">
        <v>524</v>
      </c>
      <c r="V63">
        <v>4393</v>
      </c>
      <c r="W63">
        <v>5490</v>
      </c>
      <c r="X63">
        <v>4063</v>
      </c>
      <c r="Y63">
        <v>7235</v>
      </c>
      <c r="Z63">
        <v>5490</v>
      </c>
      <c r="AA63">
        <v>0</v>
      </c>
      <c r="AB63">
        <v>0</v>
      </c>
      <c r="AC63" t="b">
        <v>1</v>
      </c>
      <c r="AD63">
        <v>1563</v>
      </c>
      <c r="AE63">
        <v>0</v>
      </c>
      <c r="AF63" t="s">
        <v>524</v>
      </c>
      <c r="AG63">
        <v>0</v>
      </c>
      <c r="AH63">
        <v>0</v>
      </c>
      <c r="AI63" t="s">
        <v>524</v>
      </c>
      <c r="AJ63">
        <v>0</v>
      </c>
      <c r="AK63" t="s">
        <v>525</v>
      </c>
      <c r="AL63">
        <v>0</v>
      </c>
      <c r="AM63" t="s">
        <v>524</v>
      </c>
      <c r="AN63">
        <v>0</v>
      </c>
      <c r="AO63" s="35">
        <v>1372.5</v>
      </c>
      <c r="AP63" s="35">
        <v>1547.81</v>
      </c>
      <c r="AQ63" s="35">
        <v>1804.21</v>
      </c>
      <c r="AR63" s="35">
        <v>1676.01</v>
      </c>
      <c r="AS63" s="35">
        <v>2379.19</v>
      </c>
      <c r="AT63" s="35">
        <v>2122.79</v>
      </c>
      <c r="AU63" s="37">
        <v>38.67</v>
      </c>
      <c r="AV63" s="30">
        <v>43.34</v>
      </c>
      <c r="AW63" s="30">
        <v>0.38500000000000001</v>
      </c>
      <c r="AX63" s="35">
        <v>4062.74</v>
      </c>
      <c r="AY63" s="30">
        <v>0.28499999999999998</v>
      </c>
      <c r="AZ63" s="35">
        <v>5489.68</v>
      </c>
      <c r="BA63"/>
      <c r="BB63"/>
    </row>
    <row r="64" spans="1:54" x14ac:dyDescent="0.3">
      <c r="A64" t="s">
        <v>163</v>
      </c>
      <c r="B64">
        <v>65.66</v>
      </c>
      <c r="D64">
        <v>0.3</v>
      </c>
      <c r="E64">
        <v>25</v>
      </c>
      <c r="F64">
        <v>221.04</v>
      </c>
      <c r="G64">
        <v>46</v>
      </c>
      <c r="H64">
        <v>46</v>
      </c>
      <c r="I64">
        <v>25</v>
      </c>
      <c r="J64">
        <v>80</v>
      </c>
      <c r="K64">
        <v>80</v>
      </c>
      <c r="L64">
        <v>30</v>
      </c>
      <c r="M64">
        <v>10</v>
      </c>
      <c r="N64">
        <v>80</v>
      </c>
      <c r="O64">
        <v>25</v>
      </c>
      <c r="P64">
        <v>28</v>
      </c>
      <c r="Q64" t="s">
        <v>619</v>
      </c>
      <c r="R64" t="s">
        <v>620</v>
      </c>
      <c r="S64" t="b">
        <v>0</v>
      </c>
      <c r="T64" t="b">
        <v>1</v>
      </c>
      <c r="U64" t="s">
        <v>524</v>
      </c>
      <c r="V64">
        <v>2669</v>
      </c>
      <c r="W64">
        <v>3456</v>
      </c>
      <c r="X64">
        <v>3934</v>
      </c>
      <c r="Y64">
        <v>7235</v>
      </c>
      <c r="Z64">
        <v>5256</v>
      </c>
      <c r="AA64">
        <v>0</v>
      </c>
      <c r="AB64">
        <v>0</v>
      </c>
      <c r="AC64" t="b">
        <v>1</v>
      </c>
      <c r="AD64">
        <v>1563</v>
      </c>
      <c r="AE64">
        <v>0</v>
      </c>
      <c r="AF64" t="s">
        <v>524</v>
      </c>
      <c r="AG64">
        <v>0</v>
      </c>
      <c r="AH64">
        <v>0</v>
      </c>
      <c r="AI64" t="s">
        <v>524</v>
      </c>
      <c r="AJ64">
        <v>0</v>
      </c>
      <c r="AK64" t="s">
        <v>525</v>
      </c>
      <c r="AL64">
        <v>0</v>
      </c>
      <c r="AM64" t="s">
        <v>524</v>
      </c>
      <c r="AN64">
        <v>0</v>
      </c>
      <c r="AO64" s="35">
        <v>1314</v>
      </c>
      <c r="AP64" s="35">
        <v>1450.66</v>
      </c>
      <c r="AQ64" s="35">
        <v>1625.7</v>
      </c>
      <c r="AR64" s="35">
        <v>1538.18</v>
      </c>
      <c r="AS64" s="35">
        <v>2242.34</v>
      </c>
      <c r="AT64" s="35">
        <v>2067.3000000000002</v>
      </c>
      <c r="AU64" s="37">
        <v>39.33</v>
      </c>
      <c r="AV64" s="30">
        <v>42.66</v>
      </c>
      <c r="AW64" s="30">
        <v>0.39700000000000002</v>
      </c>
      <c r="AX64" s="35">
        <v>3933.58</v>
      </c>
      <c r="AY64" s="30">
        <v>0.29699999999999999</v>
      </c>
      <c r="AZ64" s="35">
        <v>5256.47</v>
      </c>
      <c r="BA64"/>
      <c r="BB64"/>
    </row>
    <row r="65" spans="1:54" x14ac:dyDescent="0.3">
      <c r="A65" t="s">
        <v>594</v>
      </c>
      <c r="B65">
        <v>91.07</v>
      </c>
      <c r="D65">
        <v>4.2</v>
      </c>
      <c r="E65">
        <v>25</v>
      </c>
      <c r="F65">
        <v>796.52</v>
      </c>
      <c r="G65">
        <v>336</v>
      </c>
      <c r="H65">
        <v>336</v>
      </c>
      <c r="I65">
        <v>25</v>
      </c>
      <c r="J65">
        <v>530</v>
      </c>
      <c r="K65">
        <v>530</v>
      </c>
      <c r="L65">
        <v>30</v>
      </c>
      <c r="M65">
        <v>10</v>
      </c>
      <c r="N65">
        <v>530</v>
      </c>
      <c r="O65">
        <v>31</v>
      </c>
      <c r="P65">
        <v>39</v>
      </c>
      <c r="Q65" t="s">
        <v>619</v>
      </c>
      <c r="R65" t="s">
        <v>620</v>
      </c>
      <c r="S65" t="b">
        <v>0</v>
      </c>
      <c r="T65" t="b">
        <v>0</v>
      </c>
      <c r="U65" t="s">
        <v>524</v>
      </c>
      <c r="V65">
        <v>3175</v>
      </c>
      <c r="W65">
        <v>4793</v>
      </c>
      <c r="X65">
        <v>4637</v>
      </c>
      <c r="Y65">
        <v>7962</v>
      </c>
      <c r="Z65">
        <v>6341</v>
      </c>
      <c r="AA65">
        <v>0</v>
      </c>
      <c r="AB65">
        <v>0</v>
      </c>
      <c r="AC65" t="b">
        <v>0</v>
      </c>
      <c r="AD65">
        <v>1725</v>
      </c>
      <c r="AE65">
        <v>0</v>
      </c>
      <c r="AF65" t="s">
        <v>524</v>
      </c>
      <c r="AG65">
        <v>0</v>
      </c>
      <c r="AH65">
        <v>3401</v>
      </c>
      <c r="AI65" t="s">
        <v>524</v>
      </c>
      <c r="AJ65">
        <v>0.85</v>
      </c>
      <c r="AK65" t="s">
        <v>653</v>
      </c>
      <c r="AL65">
        <v>0</v>
      </c>
      <c r="AM65" t="s">
        <v>524</v>
      </c>
      <c r="AN65">
        <v>0</v>
      </c>
      <c r="AO65" s="35">
        <v>1965.71</v>
      </c>
      <c r="AP65" s="35">
        <v>2417.7800000000002</v>
      </c>
      <c r="AQ65" s="35">
        <v>2878.3</v>
      </c>
      <c r="AR65" s="35">
        <v>2648.04</v>
      </c>
      <c r="AS65" s="35">
        <v>2198.2199999999998</v>
      </c>
      <c r="AT65" s="35">
        <v>1737.6999999999998</v>
      </c>
      <c r="AU65" s="37">
        <v>27.4</v>
      </c>
      <c r="AV65" s="30">
        <v>34.67</v>
      </c>
      <c r="AW65" s="30">
        <v>0.27200000000000002</v>
      </c>
      <c r="AX65" s="35">
        <v>6332.74</v>
      </c>
      <c r="AY65" s="30">
        <v>0.17199999999999999</v>
      </c>
      <c r="AZ65" s="35">
        <v>10006.15</v>
      </c>
      <c r="BA65"/>
      <c r="BB65"/>
    </row>
    <row r="66" spans="1:54" x14ac:dyDescent="0.3">
      <c r="A66" t="s">
        <v>597</v>
      </c>
      <c r="B66">
        <v>65.989999999999995</v>
      </c>
      <c r="D66">
        <v>2.7</v>
      </c>
      <c r="E66">
        <v>25</v>
      </c>
      <c r="F66">
        <v>554.72</v>
      </c>
      <c r="G66">
        <v>231</v>
      </c>
      <c r="H66">
        <v>231</v>
      </c>
      <c r="I66">
        <v>25</v>
      </c>
      <c r="J66">
        <v>369</v>
      </c>
      <c r="K66">
        <v>369</v>
      </c>
      <c r="L66">
        <v>30</v>
      </c>
      <c r="M66">
        <v>10</v>
      </c>
      <c r="N66">
        <v>369</v>
      </c>
      <c r="O66">
        <v>31</v>
      </c>
      <c r="P66">
        <v>39</v>
      </c>
      <c r="Q66" t="s">
        <v>619</v>
      </c>
      <c r="R66" t="s">
        <v>620</v>
      </c>
      <c r="S66" t="b">
        <v>0</v>
      </c>
      <c r="T66" t="b">
        <v>0</v>
      </c>
      <c r="U66" t="s">
        <v>524</v>
      </c>
      <c r="V66">
        <v>2378</v>
      </c>
      <c r="W66">
        <v>3473</v>
      </c>
      <c r="X66">
        <v>3199</v>
      </c>
      <c r="Y66">
        <v>5521</v>
      </c>
      <c r="Z66">
        <v>4386</v>
      </c>
      <c r="AA66">
        <v>0</v>
      </c>
      <c r="AB66">
        <v>0</v>
      </c>
      <c r="AC66" t="b">
        <v>0</v>
      </c>
      <c r="AD66">
        <v>1182</v>
      </c>
      <c r="AE66">
        <v>0</v>
      </c>
      <c r="AF66" t="s">
        <v>524</v>
      </c>
      <c r="AG66">
        <v>0</v>
      </c>
      <c r="AH66">
        <v>2712</v>
      </c>
      <c r="AI66" t="s">
        <v>524</v>
      </c>
      <c r="AJ66">
        <v>0.8</v>
      </c>
      <c r="AK66" t="s">
        <v>653</v>
      </c>
      <c r="AL66">
        <v>0</v>
      </c>
      <c r="AM66" t="s">
        <v>524</v>
      </c>
      <c r="AN66">
        <v>0</v>
      </c>
      <c r="AO66" s="35">
        <v>1359.66</v>
      </c>
      <c r="AP66" s="35">
        <v>1681.65</v>
      </c>
      <c r="AQ66" s="35">
        <v>2005.3700000000001</v>
      </c>
      <c r="AR66" s="35">
        <v>1843.5100000000002</v>
      </c>
      <c r="AS66" s="35">
        <v>1522.35</v>
      </c>
      <c r="AT66" s="35">
        <v>1198.6299999999999</v>
      </c>
      <c r="AU66" s="37">
        <v>27.33</v>
      </c>
      <c r="AV66" s="30">
        <v>34.71</v>
      </c>
      <c r="AW66" s="30">
        <v>0.27</v>
      </c>
      <c r="AX66" s="35">
        <v>4382.92</v>
      </c>
      <c r="AY66" s="30">
        <v>0.17</v>
      </c>
      <c r="AZ66" s="35">
        <v>6965.93</v>
      </c>
      <c r="BA66"/>
      <c r="BB66"/>
    </row>
    <row r="67" spans="1:54" x14ac:dyDescent="0.3">
      <c r="A67" t="s">
        <v>599</v>
      </c>
      <c r="B67">
        <v>104.5</v>
      </c>
      <c r="D67">
        <v>3.8</v>
      </c>
      <c r="E67">
        <v>25</v>
      </c>
      <c r="F67">
        <v>770.8</v>
      </c>
      <c r="G67">
        <v>306</v>
      </c>
      <c r="H67">
        <v>306</v>
      </c>
      <c r="I67">
        <v>25</v>
      </c>
      <c r="J67">
        <v>484</v>
      </c>
      <c r="K67">
        <v>484</v>
      </c>
      <c r="L67">
        <v>30</v>
      </c>
      <c r="M67">
        <v>10</v>
      </c>
      <c r="N67">
        <v>484</v>
      </c>
      <c r="O67">
        <v>31</v>
      </c>
      <c r="P67">
        <v>39</v>
      </c>
      <c r="Q67" t="s">
        <v>619</v>
      </c>
      <c r="R67" t="s">
        <v>620</v>
      </c>
      <c r="S67" t="b">
        <v>0</v>
      </c>
      <c r="T67" t="b">
        <v>0</v>
      </c>
      <c r="U67" t="s">
        <v>524</v>
      </c>
      <c r="V67">
        <v>3747</v>
      </c>
      <c r="W67">
        <v>5500</v>
      </c>
      <c r="X67">
        <v>3751</v>
      </c>
      <c r="Y67">
        <v>6312</v>
      </c>
      <c r="Z67">
        <v>5500</v>
      </c>
      <c r="AA67">
        <v>0</v>
      </c>
      <c r="AB67">
        <v>0</v>
      </c>
      <c r="AC67" t="b">
        <v>0</v>
      </c>
      <c r="AD67">
        <v>1358</v>
      </c>
      <c r="AE67">
        <v>0</v>
      </c>
      <c r="AF67" t="s">
        <v>524</v>
      </c>
      <c r="AG67">
        <v>0</v>
      </c>
      <c r="AH67">
        <v>0</v>
      </c>
      <c r="AI67" t="s">
        <v>524</v>
      </c>
      <c r="AJ67">
        <v>0</v>
      </c>
      <c r="AK67" t="s">
        <v>525</v>
      </c>
      <c r="AL67">
        <v>0</v>
      </c>
      <c r="AM67" t="s">
        <v>524</v>
      </c>
      <c r="AN67">
        <v>0</v>
      </c>
      <c r="AO67" s="35">
        <v>1705</v>
      </c>
      <c r="AP67" s="35">
        <v>2140.5</v>
      </c>
      <c r="AQ67" s="35">
        <v>2605.3000000000002</v>
      </c>
      <c r="AR67" s="35">
        <v>2372.9</v>
      </c>
      <c r="AS67" s="35">
        <v>2001.5</v>
      </c>
      <c r="AT67" s="35">
        <v>1536.6999999999998</v>
      </c>
      <c r="AU67" s="37">
        <v>27.94</v>
      </c>
      <c r="AV67" s="30">
        <v>36.39</v>
      </c>
      <c r="AW67" s="30">
        <v>0.25900000000000001</v>
      </c>
      <c r="AX67" s="35">
        <v>5252.09</v>
      </c>
      <c r="AY67" s="30">
        <v>0.159</v>
      </c>
      <c r="AZ67" s="35">
        <v>8564.3799999999992</v>
      </c>
      <c r="BA67"/>
      <c r="BB67"/>
    </row>
    <row r="68" spans="1:54" x14ac:dyDescent="0.3">
      <c r="A68" t="s">
        <v>164</v>
      </c>
      <c r="B68">
        <v>16.68</v>
      </c>
      <c r="D68">
        <v>0.2</v>
      </c>
      <c r="E68">
        <v>25</v>
      </c>
      <c r="F68">
        <v>135.91999999999999</v>
      </c>
      <c r="G68">
        <v>56</v>
      </c>
      <c r="H68">
        <v>56</v>
      </c>
      <c r="I68">
        <v>25</v>
      </c>
      <c r="J68">
        <v>98</v>
      </c>
      <c r="K68">
        <v>98</v>
      </c>
      <c r="L68">
        <v>30</v>
      </c>
      <c r="M68">
        <v>10</v>
      </c>
      <c r="N68">
        <v>98</v>
      </c>
      <c r="O68">
        <v>31</v>
      </c>
      <c r="P68">
        <v>39</v>
      </c>
      <c r="Q68" t="s">
        <v>619</v>
      </c>
      <c r="R68" t="s">
        <v>620</v>
      </c>
      <c r="S68" t="b">
        <v>0</v>
      </c>
      <c r="T68" t="b">
        <v>0</v>
      </c>
      <c r="U68" t="s">
        <v>524</v>
      </c>
      <c r="V68">
        <v>878</v>
      </c>
      <c r="W68">
        <v>878</v>
      </c>
      <c r="X68">
        <v>1179</v>
      </c>
      <c r="Y68">
        <v>2282</v>
      </c>
      <c r="Z68">
        <v>1581</v>
      </c>
      <c r="AA68">
        <v>0</v>
      </c>
      <c r="AB68">
        <v>0</v>
      </c>
      <c r="AC68" t="b">
        <v>0</v>
      </c>
      <c r="AD68">
        <v>463</v>
      </c>
      <c r="AE68">
        <v>0</v>
      </c>
      <c r="AF68" t="s">
        <v>524</v>
      </c>
      <c r="AG68">
        <v>0</v>
      </c>
      <c r="AH68">
        <v>0</v>
      </c>
      <c r="AI68" t="s">
        <v>524</v>
      </c>
      <c r="AJ68">
        <v>0</v>
      </c>
      <c r="AK68" t="s">
        <v>525</v>
      </c>
      <c r="AL68">
        <v>0</v>
      </c>
      <c r="AM68" t="s">
        <v>524</v>
      </c>
      <c r="AN68">
        <v>0</v>
      </c>
      <c r="AO68" s="35">
        <v>490.11</v>
      </c>
      <c r="AP68" s="35">
        <v>587.79</v>
      </c>
      <c r="AQ68" s="35">
        <v>667.71</v>
      </c>
      <c r="AR68" s="35">
        <v>627.75</v>
      </c>
      <c r="AS68" s="35">
        <v>530.21</v>
      </c>
      <c r="AT68" s="35">
        <v>450.28999999999996</v>
      </c>
      <c r="AU68" s="37">
        <v>28.48</v>
      </c>
      <c r="AV68" s="30">
        <v>33.54</v>
      </c>
      <c r="AW68" s="30">
        <v>0.29299999999999998</v>
      </c>
      <c r="AX68" s="35">
        <v>1580.52</v>
      </c>
      <c r="AY68" s="30">
        <v>0.193</v>
      </c>
      <c r="AZ68" s="35">
        <v>2399.6999999999998</v>
      </c>
      <c r="BA68"/>
      <c r="BB68"/>
    </row>
    <row r="69" spans="1:54" x14ac:dyDescent="0.3">
      <c r="A69" t="s">
        <v>165</v>
      </c>
      <c r="B69">
        <v>23.98</v>
      </c>
      <c r="D69">
        <v>0.2</v>
      </c>
      <c r="E69">
        <v>25</v>
      </c>
      <c r="F69">
        <v>151.28</v>
      </c>
      <c r="G69">
        <v>56</v>
      </c>
      <c r="H69">
        <v>56</v>
      </c>
      <c r="I69">
        <v>25</v>
      </c>
      <c r="J69">
        <v>98</v>
      </c>
      <c r="K69">
        <v>98</v>
      </c>
      <c r="L69">
        <v>30</v>
      </c>
      <c r="M69">
        <v>10</v>
      </c>
      <c r="N69">
        <v>98</v>
      </c>
      <c r="O69">
        <v>31</v>
      </c>
      <c r="P69">
        <v>39</v>
      </c>
      <c r="S69" t="b">
        <v>0</v>
      </c>
      <c r="T69" t="b">
        <v>0</v>
      </c>
      <c r="U69" t="s">
        <v>524</v>
      </c>
      <c r="V69">
        <v>893</v>
      </c>
      <c r="W69">
        <v>1262</v>
      </c>
      <c r="X69">
        <v>1201</v>
      </c>
      <c r="Y69">
        <v>2282</v>
      </c>
      <c r="Z69">
        <v>1621</v>
      </c>
      <c r="AA69">
        <v>0</v>
      </c>
      <c r="AB69">
        <v>0</v>
      </c>
      <c r="AC69" t="b">
        <v>0</v>
      </c>
      <c r="AD69">
        <v>463</v>
      </c>
      <c r="AE69">
        <v>0</v>
      </c>
      <c r="AF69" t="s">
        <v>524</v>
      </c>
      <c r="AG69">
        <v>0</v>
      </c>
      <c r="AH69">
        <v>0</v>
      </c>
      <c r="AI69" t="s">
        <v>524</v>
      </c>
      <c r="AJ69">
        <v>0</v>
      </c>
      <c r="AK69" t="s">
        <v>525</v>
      </c>
      <c r="AL69">
        <v>0</v>
      </c>
      <c r="AM69" t="s">
        <v>524</v>
      </c>
      <c r="AN69">
        <v>0</v>
      </c>
      <c r="AO69" s="35">
        <v>502.51</v>
      </c>
      <c r="AP69" s="35">
        <v>607.49</v>
      </c>
      <c r="AQ69" s="35">
        <v>702.77</v>
      </c>
      <c r="AR69" s="35">
        <v>655.13</v>
      </c>
      <c r="AS69" s="35">
        <v>550.51</v>
      </c>
      <c r="AT69" s="35">
        <v>455.23</v>
      </c>
      <c r="AU69" s="37">
        <v>28.08</v>
      </c>
      <c r="AV69" s="30">
        <v>33.96</v>
      </c>
      <c r="AW69" s="30">
        <v>0.28599999999999998</v>
      </c>
      <c r="AX69" s="35">
        <v>1619.74</v>
      </c>
      <c r="AY69" s="30">
        <v>0.186</v>
      </c>
      <c r="AZ69" s="35">
        <v>2491.2800000000002</v>
      </c>
      <c r="BA69"/>
      <c r="BB69"/>
    </row>
    <row r="70" spans="1:54" x14ac:dyDescent="0.3">
      <c r="A70" t="s">
        <v>166</v>
      </c>
      <c r="B70">
        <v>18.239999999999998</v>
      </c>
      <c r="D70">
        <v>0.3</v>
      </c>
      <c r="E70">
        <v>25</v>
      </c>
      <c r="F70">
        <v>139.19999999999999</v>
      </c>
      <c r="G70">
        <v>56</v>
      </c>
      <c r="H70">
        <v>56</v>
      </c>
      <c r="I70">
        <v>25</v>
      </c>
      <c r="J70">
        <v>98</v>
      </c>
      <c r="K70">
        <v>98</v>
      </c>
      <c r="L70">
        <v>30</v>
      </c>
      <c r="M70">
        <v>10</v>
      </c>
      <c r="N70">
        <v>98</v>
      </c>
      <c r="O70">
        <v>31</v>
      </c>
      <c r="P70">
        <v>39</v>
      </c>
      <c r="Q70" t="s">
        <v>619</v>
      </c>
      <c r="R70" t="s">
        <v>620</v>
      </c>
      <c r="S70" t="b">
        <v>0</v>
      </c>
      <c r="T70" t="b">
        <v>0</v>
      </c>
      <c r="U70" t="s">
        <v>524</v>
      </c>
      <c r="V70">
        <v>622</v>
      </c>
      <c r="W70">
        <v>960</v>
      </c>
      <c r="X70">
        <v>1256</v>
      </c>
      <c r="Y70">
        <v>2438</v>
      </c>
      <c r="Z70">
        <v>1680</v>
      </c>
      <c r="AA70">
        <v>0</v>
      </c>
      <c r="AB70">
        <v>0</v>
      </c>
      <c r="AC70" t="b">
        <v>0</v>
      </c>
      <c r="AD70">
        <v>497</v>
      </c>
      <c r="AE70">
        <v>0</v>
      </c>
      <c r="AF70" t="s">
        <v>524</v>
      </c>
      <c r="AG70">
        <v>0</v>
      </c>
      <c r="AH70">
        <v>0</v>
      </c>
      <c r="AI70" t="s">
        <v>524</v>
      </c>
      <c r="AJ70">
        <v>0</v>
      </c>
      <c r="AK70" t="s">
        <v>525</v>
      </c>
      <c r="AL70">
        <v>0</v>
      </c>
      <c r="AM70" t="s">
        <v>524</v>
      </c>
      <c r="AN70">
        <v>0</v>
      </c>
      <c r="AO70" s="35">
        <v>520.79999999999995</v>
      </c>
      <c r="AP70" s="35">
        <v>620.04</v>
      </c>
      <c r="AQ70" s="35">
        <v>703.24</v>
      </c>
      <c r="AR70" s="35">
        <v>661.64</v>
      </c>
      <c r="AS70" s="35">
        <v>562.96</v>
      </c>
      <c r="AT70" s="35">
        <v>479.76</v>
      </c>
      <c r="AU70" s="37">
        <v>28.56</v>
      </c>
      <c r="AV70" s="30">
        <v>33.51</v>
      </c>
      <c r="AW70" s="30">
        <v>0.29599999999999999</v>
      </c>
      <c r="AX70" s="35">
        <v>1678.11</v>
      </c>
      <c r="AY70" s="30">
        <v>0.19600000000000001</v>
      </c>
      <c r="AZ70" s="35">
        <v>2533.56</v>
      </c>
      <c r="BA70"/>
      <c r="BB70"/>
    </row>
    <row r="71" spans="1:54" x14ac:dyDescent="0.3">
      <c r="A71" t="s">
        <v>167</v>
      </c>
      <c r="B71">
        <v>23.37</v>
      </c>
      <c r="D71">
        <v>0.2</v>
      </c>
      <c r="E71">
        <v>25</v>
      </c>
      <c r="F71">
        <v>150</v>
      </c>
      <c r="G71">
        <v>56</v>
      </c>
      <c r="H71">
        <v>56</v>
      </c>
      <c r="I71">
        <v>25</v>
      </c>
      <c r="J71">
        <v>98</v>
      </c>
      <c r="K71">
        <v>98</v>
      </c>
      <c r="L71">
        <v>30</v>
      </c>
      <c r="M71">
        <v>10</v>
      </c>
      <c r="N71">
        <v>98</v>
      </c>
      <c r="O71">
        <v>31</v>
      </c>
      <c r="P71">
        <v>39</v>
      </c>
      <c r="Q71" t="s">
        <v>619</v>
      </c>
      <c r="R71" t="s">
        <v>620</v>
      </c>
      <c r="S71" t="b">
        <v>0</v>
      </c>
      <c r="T71" t="b">
        <v>0</v>
      </c>
      <c r="U71" t="s">
        <v>524</v>
      </c>
      <c r="V71">
        <v>809</v>
      </c>
      <c r="W71">
        <v>1230</v>
      </c>
      <c r="X71">
        <v>1199</v>
      </c>
      <c r="Y71">
        <v>2282</v>
      </c>
      <c r="Z71">
        <v>1618</v>
      </c>
      <c r="AA71">
        <v>0</v>
      </c>
      <c r="AB71">
        <v>0</v>
      </c>
      <c r="AC71" t="b">
        <v>0</v>
      </c>
      <c r="AD71">
        <v>463</v>
      </c>
      <c r="AE71">
        <v>0</v>
      </c>
      <c r="AF71" t="s">
        <v>524</v>
      </c>
      <c r="AG71">
        <v>0</v>
      </c>
      <c r="AH71">
        <v>0</v>
      </c>
      <c r="AI71" t="s">
        <v>524</v>
      </c>
      <c r="AJ71">
        <v>0</v>
      </c>
      <c r="AK71" t="s">
        <v>525</v>
      </c>
      <c r="AL71">
        <v>0</v>
      </c>
      <c r="AM71" t="s">
        <v>524</v>
      </c>
      <c r="AN71">
        <v>0</v>
      </c>
      <c r="AO71" s="35">
        <v>501.58</v>
      </c>
      <c r="AP71" s="35">
        <v>605.94999999999993</v>
      </c>
      <c r="AQ71" s="35">
        <v>699.94999999999993</v>
      </c>
      <c r="AR71" s="35">
        <v>652.94999999999993</v>
      </c>
      <c r="AS71" s="35">
        <v>549.05000000000007</v>
      </c>
      <c r="AT71" s="35">
        <v>455.05000000000007</v>
      </c>
      <c r="AU71" s="37">
        <v>28.12</v>
      </c>
      <c r="AV71" s="30">
        <v>33.93</v>
      </c>
      <c r="AW71" s="30">
        <v>0.28599999999999998</v>
      </c>
      <c r="AX71" s="35">
        <v>1616.36</v>
      </c>
      <c r="AY71" s="30">
        <v>0.186</v>
      </c>
      <c r="AZ71" s="35">
        <v>2483.29</v>
      </c>
      <c r="BA71"/>
      <c r="BB71"/>
    </row>
    <row r="72" spans="1:54" x14ac:dyDescent="0.3">
      <c r="A72" t="s">
        <v>168</v>
      </c>
      <c r="B72">
        <v>33.46</v>
      </c>
      <c r="D72">
        <v>0.3</v>
      </c>
      <c r="E72">
        <v>25</v>
      </c>
      <c r="F72">
        <v>171.24</v>
      </c>
      <c r="G72">
        <v>56</v>
      </c>
      <c r="H72">
        <v>56</v>
      </c>
      <c r="I72">
        <v>25</v>
      </c>
      <c r="J72">
        <v>98</v>
      </c>
      <c r="K72">
        <v>98</v>
      </c>
      <c r="L72">
        <v>30</v>
      </c>
      <c r="M72">
        <v>10</v>
      </c>
      <c r="N72">
        <v>98</v>
      </c>
      <c r="O72">
        <v>31</v>
      </c>
      <c r="P72">
        <v>39</v>
      </c>
      <c r="S72" t="b">
        <v>0</v>
      </c>
      <c r="T72" t="b">
        <v>0</v>
      </c>
      <c r="U72" t="s">
        <v>524</v>
      </c>
      <c r="V72">
        <v>1761</v>
      </c>
      <c r="W72">
        <v>1761</v>
      </c>
      <c r="X72">
        <v>1301</v>
      </c>
      <c r="Y72">
        <v>2438</v>
      </c>
      <c r="Z72">
        <v>1761</v>
      </c>
      <c r="AA72">
        <v>0</v>
      </c>
      <c r="AB72">
        <v>0</v>
      </c>
      <c r="AC72" t="b">
        <v>0</v>
      </c>
      <c r="AD72">
        <v>497</v>
      </c>
      <c r="AE72">
        <v>0</v>
      </c>
      <c r="AF72" t="s">
        <v>524</v>
      </c>
      <c r="AG72">
        <v>0</v>
      </c>
      <c r="AH72">
        <v>0</v>
      </c>
      <c r="AI72" t="s">
        <v>524</v>
      </c>
      <c r="AJ72">
        <v>0</v>
      </c>
      <c r="AK72" t="s">
        <v>525</v>
      </c>
      <c r="AL72">
        <v>0</v>
      </c>
      <c r="AM72" t="s">
        <v>524</v>
      </c>
      <c r="AN72">
        <v>0</v>
      </c>
      <c r="AO72" s="35">
        <v>545.91</v>
      </c>
      <c r="AP72" s="35">
        <v>660.37</v>
      </c>
      <c r="AQ72" s="35">
        <v>775.61</v>
      </c>
      <c r="AR72" s="35">
        <v>717.99</v>
      </c>
      <c r="AS72" s="35">
        <v>603.63</v>
      </c>
      <c r="AT72" s="35">
        <v>488.39</v>
      </c>
      <c r="AU72" s="37">
        <v>27.73</v>
      </c>
      <c r="AV72" s="30">
        <v>34.28</v>
      </c>
      <c r="AW72" s="30">
        <v>0.28199999999999997</v>
      </c>
      <c r="AX72" s="35">
        <v>1760.65</v>
      </c>
      <c r="AY72" s="30">
        <v>0.182</v>
      </c>
      <c r="AZ72" s="35">
        <v>2726.53</v>
      </c>
      <c r="BA72"/>
      <c r="BB72"/>
    </row>
    <row r="73" spans="1:54" x14ac:dyDescent="0.3">
      <c r="A73" t="s">
        <v>169</v>
      </c>
      <c r="B73">
        <v>45.22</v>
      </c>
      <c r="D73">
        <v>0.5</v>
      </c>
      <c r="E73">
        <v>25</v>
      </c>
      <c r="F73">
        <v>214</v>
      </c>
      <c r="G73">
        <v>66</v>
      </c>
      <c r="H73">
        <v>66</v>
      </c>
      <c r="I73">
        <v>25</v>
      </c>
      <c r="J73">
        <v>116</v>
      </c>
      <c r="K73">
        <v>116</v>
      </c>
      <c r="L73">
        <v>30</v>
      </c>
      <c r="M73">
        <v>10</v>
      </c>
      <c r="N73">
        <v>116</v>
      </c>
      <c r="O73">
        <v>31</v>
      </c>
      <c r="P73">
        <v>39</v>
      </c>
      <c r="S73" t="b">
        <v>0</v>
      </c>
      <c r="T73" t="b">
        <v>0</v>
      </c>
      <c r="U73" t="s">
        <v>524</v>
      </c>
      <c r="V73">
        <v>2380</v>
      </c>
      <c r="W73">
        <v>2380</v>
      </c>
      <c r="X73">
        <v>1773</v>
      </c>
      <c r="Y73">
        <v>3321</v>
      </c>
      <c r="Z73">
        <v>2380</v>
      </c>
      <c r="AA73">
        <v>0</v>
      </c>
      <c r="AB73">
        <v>0</v>
      </c>
      <c r="AC73" t="b">
        <v>0</v>
      </c>
      <c r="AD73">
        <v>694</v>
      </c>
      <c r="AE73">
        <v>0</v>
      </c>
      <c r="AF73" t="s">
        <v>524</v>
      </c>
      <c r="AG73">
        <v>0</v>
      </c>
      <c r="AH73">
        <v>0</v>
      </c>
      <c r="AI73" t="s">
        <v>524</v>
      </c>
      <c r="AJ73">
        <v>0</v>
      </c>
      <c r="AK73" t="s">
        <v>525</v>
      </c>
      <c r="AL73">
        <v>0</v>
      </c>
      <c r="AM73" t="s">
        <v>524</v>
      </c>
      <c r="AN73">
        <v>0</v>
      </c>
      <c r="AO73" s="35">
        <v>737.8</v>
      </c>
      <c r="AP73" s="35">
        <v>874.02</v>
      </c>
      <c r="AQ73" s="35">
        <v>1022.02</v>
      </c>
      <c r="AR73" s="35">
        <v>948.02</v>
      </c>
      <c r="AS73" s="35">
        <v>811.98</v>
      </c>
      <c r="AT73" s="35">
        <v>663.98</v>
      </c>
      <c r="AU73" s="37">
        <v>27.9</v>
      </c>
      <c r="AV73" s="30">
        <v>34.119999999999997</v>
      </c>
      <c r="AW73" s="30">
        <v>0.29199999999999998</v>
      </c>
      <c r="AX73" s="35">
        <v>2379.38</v>
      </c>
      <c r="AY73" s="30">
        <v>0.192</v>
      </c>
      <c r="AZ73" s="35">
        <v>3620.76</v>
      </c>
      <c r="BA73"/>
      <c r="BB73"/>
    </row>
    <row r="74" spans="1:54" x14ac:dyDescent="0.3">
      <c r="A74" t="s">
        <v>170</v>
      </c>
      <c r="B74">
        <v>45.22</v>
      </c>
      <c r="D74">
        <v>0.5</v>
      </c>
      <c r="E74">
        <v>25</v>
      </c>
      <c r="F74">
        <v>214</v>
      </c>
      <c r="G74">
        <v>66</v>
      </c>
      <c r="H74">
        <v>66</v>
      </c>
      <c r="I74">
        <v>25</v>
      </c>
      <c r="J74">
        <v>116</v>
      </c>
      <c r="K74">
        <v>116</v>
      </c>
      <c r="L74">
        <v>30</v>
      </c>
      <c r="M74">
        <v>10</v>
      </c>
      <c r="N74">
        <v>116</v>
      </c>
      <c r="O74">
        <v>31</v>
      </c>
      <c r="P74">
        <v>39</v>
      </c>
      <c r="S74" t="b">
        <v>0</v>
      </c>
      <c r="T74" t="b">
        <v>0</v>
      </c>
      <c r="U74" t="s">
        <v>524</v>
      </c>
      <c r="V74">
        <v>2380</v>
      </c>
      <c r="W74">
        <v>2380</v>
      </c>
      <c r="X74">
        <v>1773</v>
      </c>
      <c r="Y74">
        <v>3321</v>
      </c>
      <c r="Z74">
        <v>2380</v>
      </c>
      <c r="AA74">
        <v>0</v>
      </c>
      <c r="AB74">
        <v>0</v>
      </c>
      <c r="AC74" t="b">
        <v>0</v>
      </c>
      <c r="AD74">
        <v>694</v>
      </c>
      <c r="AE74">
        <v>0</v>
      </c>
      <c r="AF74" t="s">
        <v>524</v>
      </c>
      <c r="AG74">
        <v>0</v>
      </c>
      <c r="AH74">
        <v>0</v>
      </c>
      <c r="AI74" t="s">
        <v>524</v>
      </c>
      <c r="AJ74">
        <v>0</v>
      </c>
      <c r="AK74" t="s">
        <v>525</v>
      </c>
      <c r="AL74">
        <v>0</v>
      </c>
      <c r="AM74" t="s">
        <v>524</v>
      </c>
      <c r="AN74">
        <v>0</v>
      </c>
      <c r="AO74" s="35">
        <v>737.8</v>
      </c>
      <c r="AP74" s="35">
        <v>874.02</v>
      </c>
      <c r="AQ74" s="35">
        <v>1022.02</v>
      </c>
      <c r="AR74" s="35">
        <v>948.02</v>
      </c>
      <c r="AS74" s="35">
        <v>811.98</v>
      </c>
      <c r="AT74" s="35">
        <v>663.98</v>
      </c>
      <c r="AU74" s="37">
        <v>27.9</v>
      </c>
      <c r="AV74" s="30">
        <v>34.119999999999997</v>
      </c>
      <c r="AW74" s="30">
        <v>0.29199999999999998</v>
      </c>
      <c r="AX74" s="35">
        <v>2379.38</v>
      </c>
      <c r="AY74" s="30">
        <v>0.192</v>
      </c>
      <c r="AZ74" s="35">
        <v>3620.76</v>
      </c>
      <c r="BA74"/>
      <c r="BB74"/>
    </row>
    <row r="75" spans="1:54" x14ac:dyDescent="0.3">
      <c r="A75" t="s">
        <v>171</v>
      </c>
      <c r="B75">
        <v>33.799999999999997</v>
      </c>
      <c r="D75">
        <v>0.3</v>
      </c>
      <c r="E75">
        <v>25</v>
      </c>
      <c r="F75">
        <v>171.96</v>
      </c>
      <c r="G75">
        <v>56</v>
      </c>
      <c r="H75">
        <v>56</v>
      </c>
      <c r="I75">
        <v>25</v>
      </c>
      <c r="J75">
        <v>98</v>
      </c>
      <c r="K75">
        <v>98</v>
      </c>
      <c r="L75">
        <v>30</v>
      </c>
      <c r="M75">
        <v>10</v>
      </c>
      <c r="N75">
        <v>98</v>
      </c>
      <c r="O75">
        <v>31</v>
      </c>
      <c r="P75">
        <v>39</v>
      </c>
      <c r="S75" t="b">
        <v>0</v>
      </c>
      <c r="T75" t="b">
        <v>0</v>
      </c>
      <c r="U75" t="s">
        <v>524</v>
      </c>
      <c r="V75">
        <v>1779</v>
      </c>
      <c r="W75">
        <v>1779</v>
      </c>
      <c r="X75">
        <v>1314</v>
      </c>
      <c r="Y75">
        <v>2462</v>
      </c>
      <c r="Z75">
        <v>1779</v>
      </c>
      <c r="AA75">
        <v>0</v>
      </c>
      <c r="AB75">
        <v>0</v>
      </c>
      <c r="AC75" t="b">
        <v>0</v>
      </c>
      <c r="AD75">
        <v>503</v>
      </c>
      <c r="AE75">
        <v>0</v>
      </c>
      <c r="AF75" t="s">
        <v>524</v>
      </c>
      <c r="AG75">
        <v>0</v>
      </c>
      <c r="AH75">
        <v>0</v>
      </c>
      <c r="AI75" t="s">
        <v>524</v>
      </c>
      <c r="AJ75">
        <v>0</v>
      </c>
      <c r="AK75" t="s">
        <v>525</v>
      </c>
      <c r="AL75">
        <v>0</v>
      </c>
      <c r="AM75" t="s">
        <v>524</v>
      </c>
      <c r="AN75">
        <v>0</v>
      </c>
      <c r="AO75" s="35">
        <v>551.49</v>
      </c>
      <c r="AP75" s="35">
        <v>666.29</v>
      </c>
      <c r="AQ75" s="35">
        <v>782.25</v>
      </c>
      <c r="AR75" s="35">
        <v>724.27</v>
      </c>
      <c r="AS75" s="35">
        <v>609.71</v>
      </c>
      <c r="AT75" s="35">
        <v>493.75</v>
      </c>
      <c r="AU75" s="37">
        <v>27.75</v>
      </c>
      <c r="AV75" s="30">
        <v>34.270000000000003</v>
      </c>
      <c r="AW75" s="30">
        <v>0.28299999999999997</v>
      </c>
      <c r="AX75" s="35">
        <v>1778.15</v>
      </c>
      <c r="AY75" s="30">
        <v>0.183</v>
      </c>
      <c r="AZ75" s="35">
        <v>2750.47</v>
      </c>
      <c r="BA75"/>
      <c r="BB75"/>
    </row>
    <row r="76" spans="1:54" x14ac:dyDescent="0.3">
      <c r="A76" t="s">
        <v>172</v>
      </c>
      <c r="B76">
        <v>26.62</v>
      </c>
      <c r="D76">
        <v>0.3</v>
      </c>
      <c r="E76">
        <v>25</v>
      </c>
      <c r="F76">
        <v>156.84</v>
      </c>
      <c r="G76">
        <v>56</v>
      </c>
      <c r="H76">
        <v>56</v>
      </c>
      <c r="I76">
        <v>25</v>
      </c>
      <c r="J76">
        <v>98</v>
      </c>
      <c r="K76">
        <v>98</v>
      </c>
      <c r="L76">
        <v>30</v>
      </c>
      <c r="M76">
        <v>10</v>
      </c>
      <c r="N76">
        <v>98</v>
      </c>
      <c r="O76">
        <v>31</v>
      </c>
      <c r="P76">
        <v>39</v>
      </c>
      <c r="S76" t="b">
        <v>0</v>
      </c>
      <c r="T76" t="b">
        <v>0</v>
      </c>
      <c r="U76" t="s">
        <v>524</v>
      </c>
      <c r="V76">
        <v>991</v>
      </c>
      <c r="W76">
        <v>1401</v>
      </c>
      <c r="X76">
        <v>1280</v>
      </c>
      <c r="Y76">
        <v>2438</v>
      </c>
      <c r="Z76">
        <v>1724</v>
      </c>
      <c r="AA76">
        <v>0</v>
      </c>
      <c r="AB76">
        <v>0</v>
      </c>
      <c r="AC76" t="b">
        <v>0</v>
      </c>
      <c r="AD76">
        <v>497</v>
      </c>
      <c r="AE76">
        <v>0</v>
      </c>
      <c r="AF76" t="s">
        <v>524</v>
      </c>
      <c r="AG76">
        <v>0</v>
      </c>
      <c r="AH76">
        <v>0</v>
      </c>
      <c r="AI76" t="s">
        <v>524</v>
      </c>
      <c r="AJ76">
        <v>0</v>
      </c>
      <c r="AK76" t="s">
        <v>525</v>
      </c>
      <c r="AL76">
        <v>0</v>
      </c>
      <c r="AM76" t="s">
        <v>524</v>
      </c>
      <c r="AN76">
        <v>0</v>
      </c>
      <c r="AO76" s="35">
        <v>534.43999999999994</v>
      </c>
      <c r="AP76" s="35">
        <v>642.05999999999995</v>
      </c>
      <c r="AQ76" s="35">
        <v>742.9</v>
      </c>
      <c r="AR76" s="35">
        <v>692.48</v>
      </c>
      <c r="AS76" s="35">
        <v>584.94000000000005</v>
      </c>
      <c r="AT76" s="35">
        <v>484.1</v>
      </c>
      <c r="AU76" s="37">
        <v>28.08</v>
      </c>
      <c r="AV76" s="30">
        <v>33.93</v>
      </c>
      <c r="AW76" s="30">
        <v>0.28799999999999998</v>
      </c>
      <c r="AX76" s="35">
        <v>1723.72</v>
      </c>
      <c r="AY76" s="30">
        <v>0.188</v>
      </c>
      <c r="AZ76" s="35">
        <v>2638.99</v>
      </c>
      <c r="BA76"/>
      <c r="BB76"/>
    </row>
    <row r="77" spans="1:54" x14ac:dyDescent="0.3">
      <c r="A77" t="s">
        <v>173</v>
      </c>
      <c r="B77">
        <v>45.22</v>
      </c>
      <c r="D77">
        <v>0.5</v>
      </c>
      <c r="E77">
        <v>25</v>
      </c>
      <c r="F77">
        <v>214</v>
      </c>
      <c r="G77">
        <v>66</v>
      </c>
      <c r="H77">
        <v>66</v>
      </c>
      <c r="I77">
        <v>25</v>
      </c>
      <c r="J77">
        <v>116</v>
      </c>
      <c r="K77">
        <v>116</v>
      </c>
      <c r="L77">
        <v>30</v>
      </c>
      <c r="M77">
        <v>10</v>
      </c>
      <c r="N77">
        <v>116</v>
      </c>
      <c r="O77">
        <v>31</v>
      </c>
      <c r="P77">
        <v>39</v>
      </c>
      <c r="S77" t="b">
        <v>0</v>
      </c>
      <c r="T77" t="b">
        <v>0</v>
      </c>
      <c r="U77" t="s">
        <v>524</v>
      </c>
      <c r="V77">
        <v>2380</v>
      </c>
      <c r="W77">
        <v>2380</v>
      </c>
      <c r="X77">
        <v>1773</v>
      </c>
      <c r="Y77">
        <v>3321</v>
      </c>
      <c r="Z77">
        <v>2380</v>
      </c>
      <c r="AA77">
        <v>0</v>
      </c>
      <c r="AB77">
        <v>0</v>
      </c>
      <c r="AC77" t="b">
        <v>0</v>
      </c>
      <c r="AD77">
        <v>694</v>
      </c>
      <c r="AE77">
        <v>0</v>
      </c>
      <c r="AF77" t="s">
        <v>524</v>
      </c>
      <c r="AG77">
        <v>0</v>
      </c>
      <c r="AH77">
        <v>0</v>
      </c>
      <c r="AI77" t="s">
        <v>524</v>
      </c>
      <c r="AJ77">
        <v>0</v>
      </c>
      <c r="AK77" t="s">
        <v>525</v>
      </c>
      <c r="AL77">
        <v>0</v>
      </c>
      <c r="AM77" t="s">
        <v>524</v>
      </c>
      <c r="AN77">
        <v>0</v>
      </c>
      <c r="AO77" s="35">
        <v>737.8</v>
      </c>
      <c r="AP77" s="35">
        <v>874.02</v>
      </c>
      <c r="AQ77" s="35">
        <v>1022.02</v>
      </c>
      <c r="AR77" s="35">
        <v>948.02</v>
      </c>
      <c r="AS77" s="35">
        <v>811.98</v>
      </c>
      <c r="AT77" s="35">
        <v>663.98</v>
      </c>
      <c r="AU77" s="37">
        <v>27.9</v>
      </c>
      <c r="AV77" s="30">
        <v>34.119999999999997</v>
      </c>
      <c r="AW77" s="30">
        <v>0.29199999999999998</v>
      </c>
      <c r="AX77" s="35">
        <v>2379.38</v>
      </c>
      <c r="AY77" s="30">
        <v>0.192</v>
      </c>
      <c r="AZ77" s="35">
        <v>3620.76</v>
      </c>
      <c r="BA77"/>
      <c r="BB77"/>
    </row>
    <row r="78" spans="1:54" x14ac:dyDescent="0.3">
      <c r="A78" t="s">
        <v>174</v>
      </c>
      <c r="B78">
        <v>28.79</v>
      </c>
      <c r="D78">
        <v>0.4</v>
      </c>
      <c r="E78">
        <v>25</v>
      </c>
      <c r="F78">
        <v>179.4</v>
      </c>
      <c r="G78">
        <v>66</v>
      </c>
      <c r="H78">
        <v>66</v>
      </c>
      <c r="I78">
        <v>25</v>
      </c>
      <c r="J78">
        <v>116</v>
      </c>
      <c r="K78">
        <v>116</v>
      </c>
      <c r="L78">
        <v>30</v>
      </c>
      <c r="M78">
        <v>10</v>
      </c>
      <c r="N78">
        <v>116</v>
      </c>
      <c r="O78">
        <v>31</v>
      </c>
      <c r="P78">
        <v>39</v>
      </c>
      <c r="Q78" t="s">
        <v>619</v>
      </c>
      <c r="R78" t="s">
        <v>620</v>
      </c>
      <c r="S78" t="b">
        <v>0</v>
      </c>
      <c r="T78" t="b">
        <v>0</v>
      </c>
      <c r="U78" t="s">
        <v>524</v>
      </c>
      <c r="V78">
        <v>1015</v>
      </c>
      <c r="W78">
        <v>1515</v>
      </c>
      <c r="X78">
        <v>1860</v>
      </c>
      <c r="Y78">
        <v>3614</v>
      </c>
      <c r="Z78">
        <v>2463</v>
      </c>
      <c r="AA78">
        <v>0</v>
      </c>
      <c r="AB78">
        <v>0</v>
      </c>
      <c r="AC78" t="b">
        <v>0</v>
      </c>
      <c r="AD78">
        <v>759</v>
      </c>
      <c r="AE78">
        <v>0</v>
      </c>
      <c r="AF78" t="s">
        <v>524</v>
      </c>
      <c r="AG78">
        <v>0</v>
      </c>
      <c r="AH78">
        <v>0</v>
      </c>
      <c r="AI78" t="s">
        <v>524</v>
      </c>
      <c r="AJ78">
        <v>0</v>
      </c>
      <c r="AK78" t="s">
        <v>525</v>
      </c>
      <c r="AL78">
        <v>0</v>
      </c>
      <c r="AM78" t="s">
        <v>524</v>
      </c>
      <c r="AN78">
        <v>0</v>
      </c>
      <c r="AO78" s="35">
        <v>763.53</v>
      </c>
      <c r="AP78" s="35">
        <v>883.31999999999994</v>
      </c>
      <c r="AQ78" s="35">
        <v>996.71999999999991</v>
      </c>
      <c r="AR78" s="35">
        <v>940.02</v>
      </c>
      <c r="AS78" s="35">
        <v>820.68000000000006</v>
      </c>
      <c r="AT78" s="35">
        <v>707.28000000000009</v>
      </c>
      <c r="AU78" s="37">
        <v>28.72</v>
      </c>
      <c r="AV78" s="30">
        <v>33.32</v>
      </c>
      <c r="AW78" s="30">
        <v>0.308</v>
      </c>
      <c r="AX78" s="35">
        <v>2461.54</v>
      </c>
      <c r="AY78" s="30">
        <v>0.20799999999999999</v>
      </c>
      <c r="AZ78" s="35">
        <v>3643.02</v>
      </c>
      <c r="BA78"/>
      <c r="BB78"/>
    </row>
    <row r="79" spans="1:54" x14ac:dyDescent="0.3">
      <c r="A79" t="s">
        <v>175</v>
      </c>
      <c r="B79">
        <v>32.57</v>
      </c>
      <c r="D79">
        <v>0.4</v>
      </c>
      <c r="E79">
        <v>25</v>
      </c>
      <c r="F79">
        <v>187.36</v>
      </c>
      <c r="G79">
        <v>66</v>
      </c>
      <c r="H79">
        <v>66</v>
      </c>
      <c r="I79">
        <v>25</v>
      </c>
      <c r="J79">
        <v>116</v>
      </c>
      <c r="K79">
        <v>116</v>
      </c>
      <c r="L79">
        <v>30</v>
      </c>
      <c r="M79">
        <v>10</v>
      </c>
      <c r="N79">
        <v>116</v>
      </c>
      <c r="O79">
        <v>31</v>
      </c>
      <c r="P79">
        <v>39</v>
      </c>
      <c r="Q79" t="s">
        <v>619</v>
      </c>
      <c r="R79" t="s">
        <v>620</v>
      </c>
      <c r="S79" t="b">
        <v>0</v>
      </c>
      <c r="T79" t="b">
        <v>0</v>
      </c>
      <c r="U79" t="s">
        <v>524</v>
      </c>
      <c r="V79">
        <v>1714</v>
      </c>
      <c r="W79">
        <v>1714</v>
      </c>
      <c r="X79">
        <v>2182</v>
      </c>
      <c r="Y79">
        <v>4279</v>
      </c>
      <c r="Z79">
        <v>2872</v>
      </c>
      <c r="AA79">
        <v>0</v>
      </c>
      <c r="AB79">
        <v>0</v>
      </c>
      <c r="AC79" t="b">
        <v>0</v>
      </c>
      <c r="AD79">
        <v>907</v>
      </c>
      <c r="AE79">
        <v>0</v>
      </c>
      <c r="AF79" t="s">
        <v>524</v>
      </c>
      <c r="AG79">
        <v>0</v>
      </c>
      <c r="AH79">
        <v>0</v>
      </c>
      <c r="AI79" t="s">
        <v>524</v>
      </c>
      <c r="AJ79">
        <v>0</v>
      </c>
      <c r="AK79" t="s">
        <v>525</v>
      </c>
      <c r="AL79">
        <v>0</v>
      </c>
      <c r="AM79" t="s">
        <v>524</v>
      </c>
      <c r="AN79">
        <v>0</v>
      </c>
      <c r="AO79" s="35">
        <v>890.32</v>
      </c>
      <c r="AP79" s="35">
        <v>1013.8900000000001</v>
      </c>
      <c r="AQ79" s="35">
        <v>1135.25</v>
      </c>
      <c r="AR79" s="35">
        <v>1074.5700000000002</v>
      </c>
      <c r="AS79" s="35">
        <v>951.1099999999999</v>
      </c>
      <c r="AT79" s="35">
        <v>829.75</v>
      </c>
      <c r="AU79" s="37">
        <v>28.89</v>
      </c>
      <c r="AV79" s="30">
        <v>33.119999999999997</v>
      </c>
      <c r="AW79" s="30">
        <v>0.316</v>
      </c>
      <c r="AX79" s="35">
        <v>2871.65</v>
      </c>
      <c r="AY79" s="30">
        <v>0.216</v>
      </c>
      <c r="AZ79" s="35">
        <v>4202.07</v>
      </c>
      <c r="BA79"/>
      <c r="BB79"/>
    </row>
    <row r="80" spans="1:54" x14ac:dyDescent="0.3">
      <c r="A80" t="s">
        <v>176</v>
      </c>
      <c r="B80">
        <v>28.79</v>
      </c>
      <c r="D80">
        <v>0.4</v>
      </c>
      <c r="E80">
        <v>25</v>
      </c>
      <c r="F80">
        <v>179.4</v>
      </c>
      <c r="G80">
        <v>66</v>
      </c>
      <c r="H80">
        <v>66</v>
      </c>
      <c r="I80">
        <v>25</v>
      </c>
      <c r="J80">
        <v>116</v>
      </c>
      <c r="K80">
        <v>116</v>
      </c>
      <c r="L80">
        <v>30</v>
      </c>
      <c r="M80">
        <v>10</v>
      </c>
      <c r="N80">
        <v>116</v>
      </c>
      <c r="O80">
        <v>31</v>
      </c>
      <c r="P80">
        <v>39</v>
      </c>
      <c r="Q80" t="s">
        <v>619</v>
      </c>
      <c r="R80" t="s">
        <v>620</v>
      </c>
      <c r="S80" t="b">
        <v>0</v>
      </c>
      <c r="T80" t="b">
        <v>0</v>
      </c>
      <c r="U80" t="s">
        <v>524</v>
      </c>
      <c r="V80">
        <v>1015</v>
      </c>
      <c r="W80">
        <v>1515</v>
      </c>
      <c r="X80">
        <v>1860</v>
      </c>
      <c r="Y80">
        <v>3614</v>
      </c>
      <c r="Z80">
        <v>2463</v>
      </c>
      <c r="AA80">
        <v>0</v>
      </c>
      <c r="AB80">
        <v>0</v>
      </c>
      <c r="AC80" t="b">
        <v>0</v>
      </c>
      <c r="AD80">
        <v>759</v>
      </c>
      <c r="AE80">
        <v>0</v>
      </c>
      <c r="AF80" t="s">
        <v>524</v>
      </c>
      <c r="AG80">
        <v>0</v>
      </c>
      <c r="AH80">
        <v>0</v>
      </c>
      <c r="AI80" t="s">
        <v>524</v>
      </c>
      <c r="AJ80">
        <v>0</v>
      </c>
      <c r="AK80" t="s">
        <v>525</v>
      </c>
      <c r="AL80">
        <v>0</v>
      </c>
      <c r="AM80" t="s">
        <v>524</v>
      </c>
      <c r="AN80">
        <v>0</v>
      </c>
      <c r="AO80" s="35">
        <v>763.53</v>
      </c>
      <c r="AP80" s="35">
        <v>883.31999999999994</v>
      </c>
      <c r="AQ80" s="35">
        <v>996.71999999999991</v>
      </c>
      <c r="AR80" s="35">
        <v>940.02</v>
      </c>
      <c r="AS80" s="35">
        <v>820.68000000000006</v>
      </c>
      <c r="AT80" s="35">
        <v>707.28000000000009</v>
      </c>
      <c r="AU80" s="37">
        <v>28.72</v>
      </c>
      <c r="AV80" s="30">
        <v>33.32</v>
      </c>
      <c r="AW80" s="30">
        <v>0.308</v>
      </c>
      <c r="AX80" s="35">
        <v>2461.54</v>
      </c>
      <c r="AY80" s="30">
        <v>0.20799999999999999</v>
      </c>
      <c r="AZ80" s="35">
        <v>3643.02</v>
      </c>
      <c r="BA80"/>
      <c r="BB80"/>
    </row>
    <row r="81" spans="1:54" x14ac:dyDescent="0.3">
      <c r="A81" t="s">
        <v>353</v>
      </c>
      <c r="B81">
        <v>38</v>
      </c>
      <c r="D81">
        <v>0.4</v>
      </c>
      <c r="E81">
        <v>25</v>
      </c>
      <c r="F81">
        <v>198.8</v>
      </c>
      <c r="G81">
        <v>66</v>
      </c>
      <c r="H81">
        <v>66</v>
      </c>
      <c r="I81">
        <v>25</v>
      </c>
      <c r="J81">
        <v>116</v>
      </c>
      <c r="K81">
        <v>116</v>
      </c>
      <c r="L81">
        <v>30</v>
      </c>
      <c r="M81">
        <v>10</v>
      </c>
      <c r="N81">
        <v>116</v>
      </c>
      <c r="O81">
        <v>31</v>
      </c>
      <c r="P81">
        <v>39</v>
      </c>
      <c r="S81" t="b">
        <v>0</v>
      </c>
      <c r="T81" t="b">
        <v>0</v>
      </c>
      <c r="U81" t="s">
        <v>524</v>
      </c>
      <c r="V81">
        <v>2000</v>
      </c>
      <c r="W81">
        <v>2000</v>
      </c>
      <c r="X81">
        <v>0</v>
      </c>
      <c r="Y81">
        <v>0</v>
      </c>
      <c r="Z81">
        <v>2000</v>
      </c>
      <c r="AA81">
        <v>0</v>
      </c>
      <c r="AB81">
        <v>0</v>
      </c>
      <c r="AC81" t="b">
        <v>1</v>
      </c>
      <c r="AD81">
        <v>0</v>
      </c>
      <c r="AE81">
        <v>0</v>
      </c>
      <c r="AF81" t="s">
        <v>524</v>
      </c>
      <c r="AG81">
        <v>0</v>
      </c>
      <c r="AH81">
        <v>0</v>
      </c>
      <c r="AI81" t="s">
        <v>524</v>
      </c>
      <c r="AJ81">
        <v>0</v>
      </c>
      <c r="AK81" t="s">
        <v>525</v>
      </c>
      <c r="AL81">
        <v>0</v>
      </c>
      <c r="AM81" t="s">
        <v>524</v>
      </c>
      <c r="AN81">
        <v>0</v>
      </c>
      <c r="AO81" s="35">
        <v>620</v>
      </c>
      <c r="AP81" s="35">
        <v>749</v>
      </c>
      <c r="AQ81" s="35">
        <v>881.8</v>
      </c>
      <c r="AR81" s="35">
        <v>815.4</v>
      </c>
      <c r="AS81" s="35">
        <v>1251</v>
      </c>
      <c r="AT81" s="35">
        <v>1118.2</v>
      </c>
      <c r="AU81" s="37">
        <v>55.91</v>
      </c>
      <c r="AV81" s="30">
        <v>62.55</v>
      </c>
      <c r="AW81" s="30">
        <v>0.28199999999999997</v>
      </c>
      <c r="AX81" s="35">
        <v>0</v>
      </c>
      <c r="AY81" s="30">
        <v>0.182</v>
      </c>
      <c r="AZ81" s="35">
        <v>0</v>
      </c>
      <c r="BA81"/>
      <c r="BB81"/>
    </row>
    <row r="82" spans="1:54" x14ac:dyDescent="0.3">
      <c r="A82" t="s">
        <v>177</v>
      </c>
      <c r="B82">
        <v>24.02</v>
      </c>
      <c r="D82">
        <v>3</v>
      </c>
      <c r="E82">
        <v>25</v>
      </c>
      <c r="F82">
        <v>493.36</v>
      </c>
      <c r="G82">
        <v>246</v>
      </c>
      <c r="H82">
        <v>246</v>
      </c>
      <c r="I82">
        <v>25</v>
      </c>
      <c r="J82">
        <v>392</v>
      </c>
      <c r="K82">
        <v>392</v>
      </c>
      <c r="L82">
        <v>30</v>
      </c>
      <c r="M82">
        <v>10</v>
      </c>
      <c r="N82">
        <v>392</v>
      </c>
      <c r="O82">
        <v>29</v>
      </c>
      <c r="P82">
        <v>37</v>
      </c>
      <c r="Q82" t="s">
        <v>619</v>
      </c>
      <c r="R82" t="s">
        <v>620</v>
      </c>
      <c r="S82" t="b">
        <v>0</v>
      </c>
      <c r="T82" t="b">
        <v>0</v>
      </c>
      <c r="U82" t="s">
        <v>524</v>
      </c>
      <c r="V82">
        <v>1264</v>
      </c>
      <c r="W82">
        <v>1264</v>
      </c>
      <c r="X82">
        <v>1200</v>
      </c>
      <c r="Y82">
        <v>6462</v>
      </c>
      <c r="Z82">
        <v>1264</v>
      </c>
      <c r="AA82">
        <v>0</v>
      </c>
      <c r="AB82">
        <v>0</v>
      </c>
      <c r="AC82" t="b">
        <v>0</v>
      </c>
      <c r="AD82">
        <v>1436</v>
      </c>
      <c r="AE82">
        <v>0</v>
      </c>
      <c r="AF82" t="s">
        <v>524</v>
      </c>
      <c r="AG82">
        <v>0</v>
      </c>
      <c r="AH82">
        <v>0</v>
      </c>
      <c r="AI82" t="s">
        <v>524</v>
      </c>
      <c r="AJ82">
        <v>0</v>
      </c>
      <c r="AK82" t="s">
        <v>525</v>
      </c>
      <c r="AL82">
        <v>0</v>
      </c>
      <c r="AM82" t="s">
        <v>524</v>
      </c>
      <c r="AN82">
        <v>0</v>
      </c>
      <c r="AO82" s="35">
        <v>366.56</v>
      </c>
      <c r="AP82" s="35">
        <v>661.57999999999993</v>
      </c>
      <c r="AQ82" s="35">
        <v>908.94</v>
      </c>
      <c r="AR82" s="35">
        <v>785.26</v>
      </c>
      <c r="AS82" s="35">
        <v>-833.57999999999993</v>
      </c>
      <c r="AT82" s="35">
        <v>-1080.94</v>
      </c>
      <c r="AU82" s="37">
        <v>-85.52</v>
      </c>
      <c r="AV82" s="30">
        <v>-65.95</v>
      </c>
      <c r="AW82" s="30">
        <v>6.9000000000000006E-2</v>
      </c>
      <c r="AX82" s="35">
        <v>20887.27</v>
      </c>
      <c r="AY82" s="30">
        <v>-3.1E-2</v>
      </c>
      <c r="AZ82" s="35">
        <v>-45952</v>
      </c>
      <c r="BA82"/>
      <c r="BB82"/>
    </row>
    <row r="83" spans="1:54" x14ac:dyDescent="0.3">
      <c r="A83" t="s">
        <v>178</v>
      </c>
      <c r="B83">
        <v>22.9</v>
      </c>
      <c r="D83">
        <v>0.1</v>
      </c>
      <c r="E83">
        <v>25</v>
      </c>
      <c r="F83">
        <v>131</v>
      </c>
      <c r="G83">
        <v>46</v>
      </c>
      <c r="H83">
        <v>46</v>
      </c>
      <c r="I83">
        <v>25</v>
      </c>
      <c r="J83">
        <v>80</v>
      </c>
      <c r="K83">
        <v>80</v>
      </c>
      <c r="L83">
        <v>30</v>
      </c>
      <c r="M83">
        <v>10</v>
      </c>
      <c r="N83">
        <v>80</v>
      </c>
      <c r="O83">
        <v>31</v>
      </c>
      <c r="P83">
        <v>39</v>
      </c>
      <c r="Q83" t="s">
        <v>619</v>
      </c>
      <c r="R83" t="s">
        <v>620</v>
      </c>
      <c r="S83" t="b">
        <v>0</v>
      </c>
      <c r="T83" t="b">
        <v>0</v>
      </c>
      <c r="U83" t="s">
        <v>524</v>
      </c>
      <c r="V83">
        <v>1205</v>
      </c>
      <c r="W83">
        <v>1205</v>
      </c>
      <c r="X83">
        <v>1314</v>
      </c>
      <c r="Y83">
        <v>2577</v>
      </c>
      <c r="Z83">
        <v>1749</v>
      </c>
      <c r="AA83">
        <v>0</v>
      </c>
      <c r="AB83">
        <v>0</v>
      </c>
      <c r="AC83" t="b">
        <v>0</v>
      </c>
      <c r="AD83">
        <v>528</v>
      </c>
      <c r="AE83">
        <v>0</v>
      </c>
      <c r="AF83" t="s">
        <v>524</v>
      </c>
      <c r="AG83">
        <v>0</v>
      </c>
      <c r="AH83">
        <v>0</v>
      </c>
      <c r="AI83" t="s">
        <v>524</v>
      </c>
      <c r="AJ83">
        <v>0</v>
      </c>
      <c r="AK83" t="s">
        <v>525</v>
      </c>
      <c r="AL83">
        <v>0</v>
      </c>
      <c r="AM83" t="s">
        <v>524</v>
      </c>
      <c r="AN83">
        <v>0</v>
      </c>
      <c r="AO83" s="35">
        <v>542.18999999999994</v>
      </c>
      <c r="AP83" s="35">
        <v>636.08999999999992</v>
      </c>
      <c r="AQ83" s="35">
        <v>721.08999999999992</v>
      </c>
      <c r="AR83" s="35">
        <v>678.58999999999992</v>
      </c>
      <c r="AS83" s="35">
        <v>584.91000000000008</v>
      </c>
      <c r="AT83" s="35">
        <v>499.91000000000008</v>
      </c>
      <c r="AU83" s="37">
        <v>28.58</v>
      </c>
      <c r="AV83" s="30">
        <v>33.44</v>
      </c>
      <c r="AW83" s="30">
        <v>0.30199999999999999</v>
      </c>
      <c r="AX83" s="35">
        <v>1748.27</v>
      </c>
      <c r="AY83" s="30">
        <v>0.20200000000000001</v>
      </c>
      <c r="AZ83" s="35">
        <v>2613.6999999999998</v>
      </c>
      <c r="BA83"/>
      <c r="BB83"/>
    </row>
    <row r="84" spans="1:54" x14ac:dyDescent="0.3">
      <c r="A84" t="s">
        <v>179</v>
      </c>
      <c r="B84">
        <v>299.36</v>
      </c>
      <c r="D84">
        <v>0.1</v>
      </c>
      <c r="E84">
        <v>25</v>
      </c>
      <c r="F84">
        <v>713.04</v>
      </c>
      <c r="G84">
        <v>46</v>
      </c>
      <c r="H84">
        <v>46</v>
      </c>
      <c r="I84">
        <v>25</v>
      </c>
      <c r="J84">
        <v>80</v>
      </c>
      <c r="K84">
        <v>80</v>
      </c>
      <c r="L84">
        <v>30</v>
      </c>
      <c r="M84">
        <v>10</v>
      </c>
      <c r="N84">
        <v>80</v>
      </c>
      <c r="O84">
        <v>27</v>
      </c>
      <c r="P84">
        <v>36</v>
      </c>
      <c r="Q84" t="s">
        <v>619</v>
      </c>
      <c r="R84" t="s">
        <v>620</v>
      </c>
      <c r="S84" t="b">
        <v>0</v>
      </c>
      <c r="T84" t="b">
        <v>1</v>
      </c>
      <c r="U84" t="s">
        <v>524</v>
      </c>
      <c r="V84">
        <v>12552</v>
      </c>
      <c r="W84">
        <v>15756</v>
      </c>
      <c r="X84">
        <v>11558</v>
      </c>
      <c r="Y84">
        <v>19753</v>
      </c>
      <c r="Z84">
        <v>15756</v>
      </c>
      <c r="AA84">
        <v>0</v>
      </c>
      <c r="AB84">
        <v>0</v>
      </c>
      <c r="AC84" t="b">
        <v>1</v>
      </c>
      <c r="AD84">
        <v>4345</v>
      </c>
      <c r="AE84">
        <v>3970</v>
      </c>
      <c r="AF84" t="s">
        <v>524</v>
      </c>
      <c r="AG84">
        <v>1.65</v>
      </c>
      <c r="AH84">
        <v>0</v>
      </c>
      <c r="AI84" t="s">
        <v>524</v>
      </c>
      <c r="AJ84">
        <v>0</v>
      </c>
      <c r="AK84" t="s">
        <v>526</v>
      </c>
      <c r="AL84">
        <v>3970</v>
      </c>
      <c r="AM84" t="s">
        <v>524</v>
      </c>
      <c r="AN84">
        <v>1.65</v>
      </c>
      <c r="AO84" s="35">
        <v>4254.12</v>
      </c>
      <c r="AP84" s="35">
        <v>4624.4799999999996</v>
      </c>
      <c r="AQ84" s="35">
        <v>5291.5199999999995</v>
      </c>
      <c r="AR84" s="35">
        <v>4958</v>
      </c>
      <c r="AS84" s="35">
        <v>6786.52</v>
      </c>
      <c r="AT84" s="35">
        <v>6119.4800000000005</v>
      </c>
      <c r="AU84" s="37">
        <v>38.840000000000003</v>
      </c>
      <c r="AV84" s="30">
        <v>43.07</v>
      </c>
      <c r="AW84" s="30">
        <v>0.375</v>
      </c>
      <c r="AX84" s="35">
        <v>11576.6</v>
      </c>
      <c r="AY84" s="30">
        <v>0.27500000000000002</v>
      </c>
      <c r="AZ84" s="35">
        <v>15781.28</v>
      </c>
      <c r="BA84"/>
      <c r="BB84"/>
    </row>
    <row r="85" spans="1:54" x14ac:dyDescent="0.3">
      <c r="A85" t="s">
        <v>359</v>
      </c>
      <c r="B85">
        <v>14.31</v>
      </c>
      <c r="D85">
        <v>0.1</v>
      </c>
      <c r="E85">
        <v>25</v>
      </c>
      <c r="F85">
        <v>112.92</v>
      </c>
      <c r="G85">
        <v>46</v>
      </c>
      <c r="H85">
        <v>46</v>
      </c>
      <c r="I85">
        <v>25</v>
      </c>
      <c r="J85">
        <v>80</v>
      </c>
      <c r="K85">
        <v>80</v>
      </c>
      <c r="L85">
        <v>30</v>
      </c>
      <c r="M85">
        <v>10</v>
      </c>
      <c r="N85">
        <v>80</v>
      </c>
      <c r="O85">
        <v>31</v>
      </c>
      <c r="P85">
        <v>39</v>
      </c>
      <c r="S85" t="b">
        <v>0</v>
      </c>
      <c r="T85" t="b">
        <v>0</v>
      </c>
      <c r="U85" t="s">
        <v>524</v>
      </c>
      <c r="V85">
        <v>753</v>
      </c>
      <c r="W85">
        <v>753</v>
      </c>
      <c r="X85">
        <v>519</v>
      </c>
      <c r="Y85">
        <v>949</v>
      </c>
      <c r="Z85">
        <v>753</v>
      </c>
      <c r="AA85">
        <v>0</v>
      </c>
      <c r="AB85">
        <v>0</v>
      </c>
      <c r="AC85" t="b">
        <v>0</v>
      </c>
      <c r="AD85">
        <v>166</v>
      </c>
      <c r="AE85">
        <v>0</v>
      </c>
      <c r="AF85" t="s">
        <v>524</v>
      </c>
      <c r="AG85">
        <v>0</v>
      </c>
      <c r="AH85">
        <v>0</v>
      </c>
      <c r="AI85" t="s">
        <v>524</v>
      </c>
      <c r="AJ85">
        <v>0</v>
      </c>
      <c r="AK85" t="s">
        <v>525</v>
      </c>
      <c r="AL85">
        <v>0</v>
      </c>
      <c r="AM85" t="s">
        <v>524</v>
      </c>
      <c r="AN85">
        <v>0</v>
      </c>
      <c r="AO85" s="35">
        <v>233.43</v>
      </c>
      <c r="AP85" s="35">
        <v>318.74</v>
      </c>
      <c r="AQ85" s="35">
        <v>385.66</v>
      </c>
      <c r="AR85" s="35">
        <v>352.20000000000005</v>
      </c>
      <c r="AS85" s="35">
        <v>268.26</v>
      </c>
      <c r="AT85" s="35">
        <v>201.33999999999997</v>
      </c>
      <c r="AU85" s="37">
        <v>26.74</v>
      </c>
      <c r="AV85" s="30">
        <v>35.630000000000003</v>
      </c>
      <c r="AW85" s="30">
        <v>0.222</v>
      </c>
      <c r="AX85" s="35">
        <v>746.84</v>
      </c>
      <c r="AY85" s="30">
        <v>0.122</v>
      </c>
      <c r="AZ85" s="35">
        <v>1357.64</v>
      </c>
      <c r="BA85"/>
      <c r="BB85"/>
    </row>
    <row r="86" spans="1:54" x14ac:dyDescent="0.3">
      <c r="A86" t="s">
        <v>368</v>
      </c>
      <c r="B86">
        <v>6192.14</v>
      </c>
      <c r="D86">
        <v>25.1</v>
      </c>
      <c r="E86">
        <v>25</v>
      </c>
      <c r="F86">
        <v>16475.88</v>
      </c>
      <c r="G86">
        <v>1911</v>
      </c>
      <c r="H86">
        <v>1911</v>
      </c>
      <c r="I86">
        <v>25</v>
      </c>
      <c r="J86">
        <v>2945</v>
      </c>
      <c r="K86">
        <v>2945</v>
      </c>
      <c r="L86">
        <v>30</v>
      </c>
      <c r="M86">
        <v>10</v>
      </c>
      <c r="N86">
        <v>2945</v>
      </c>
      <c r="O86">
        <v>24</v>
      </c>
      <c r="P86">
        <v>33</v>
      </c>
      <c r="S86" t="b">
        <v>0</v>
      </c>
      <c r="T86" t="b">
        <v>1</v>
      </c>
      <c r="U86" t="s">
        <v>524</v>
      </c>
      <c r="V86">
        <v>251072</v>
      </c>
      <c r="W86">
        <v>325902</v>
      </c>
      <c r="X86">
        <v>244976</v>
      </c>
      <c r="Y86">
        <v>444848</v>
      </c>
      <c r="Z86">
        <v>325902</v>
      </c>
      <c r="AA86">
        <v>0</v>
      </c>
      <c r="AB86">
        <v>0</v>
      </c>
      <c r="AC86" t="b">
        <v>1</v>
      </c>
      <c r="AD86">
        <v>98811</v>
      </c>
      <c r="AE86">
        <v>0</v>
      </c>
      <c r="AF86" t="s">
        <v>524</v>
      </c>
      <c r="AG86">
        <v>0</v>
      </c>
      <c r="AH86">
        <v>0</v>
      </c>
      <c r="AI86" t="s">
        <v>524</v>
      </c>
      <c r="AJ86">
        <v>0</v>
      </c>
      <c r="AK86" t="s">
        <v>525</v>
      </c>
      <c r="AL86">
        <v>0</v>
      </c>
      <c r="AM86" t="s">
        <v>524</v>
      </c>
      <c r="AN86">
        <v>0</v>
      </c>
      <c r="AO86" s="36">
        <v>78216.479999999996</v>
      </c>
      <c r="AP86" s="36">
        <v>86344.62</v>
      </c>
      <c r="AQ86" s="36">
        <v>100909.5</v>
      </c>
      <c r="AR86" s="36">
        <v>93627.06</v>
      </c>
      <c r="AS86" s="36">
        <v>140746.38</v>
      </c>
      <c r="AT86" s="36">
        <v>126181.5</v>
      </c>
      <c r="AU86" s="38">
        <v>38.72</v>
      </c>
      <c r="AV86" s="31">
        <v>43.19</v>
      </c>
      <c r="AW86" s="31">
        <v>0.40300000000000002</v>
      </c>
      <c r="AX86" s="36">
        <v>245362.67</v>
      </c>
      <c r="AY86" s="31">
        <v>0.30299999999999999</v>
      </c>
      <c r="AZ86" s="36">
        <v>326416.94</v>
      </c>
      <c r="BA86"/>
      <c r="BB86"/>
    </row>
    <row r="87" spans="1:54" x14ac:dyDescent="0.3">
      <c r="A87" t="s">
        <v>370</v>
      </c>
      <c r="B87">
        <v>27.63</v>
      </c>
      <c r="D87">
        <v>0.4</v>
      </c>
      <c r="E87">
        <v>25</v>
      </c>
      <c r="F87">
        <v>158.96</v>
      </c>
      <c r="G87">
        <v>56</v>
      </c>
      <c r="H87">
        <v>56</v>
      </c>
      <c r="I87">
        <v>25</v>
      </c>
      <c r="J87">
        <v>98</v>
      </c>
      <c r="K87">
        <v>98</v>
      </c>
      <c r="L87">
        <v>30</v>
      </c>
      <c r="M87">
        <v>10</v>
      </c>
      <c r="N87">
        <v>98</v>
      </c>
      <c r="O87">
        <v>31</v>
      </c>
      <c r="P87">
        <v>39</v>
      </c>
      <c r="S87" t="b">
        <v>0</v>
      </c>
      <c r="T87" t="b">
        <v>0</v>
      </c>
      <c r="U87" t="s">
        <v>524</v>
      </c>
      <c r="V87">
        <v>1454</v>
      </c>
      <c r="W87">
        <v>1454</v>
      </c>
      <c r="X87">
        <v>1061</v>
      </c>
      <c r="Y87">
        <v>1963</v>
      </c>
      <c r="Z87">
        <v>1454</v>
      </c>
      <c r="AA87">
        <v>0</v>
      </c>
      <c r="AB87">
        <v>0</v>
      </c>
      <c r="AC87" t="b">
        <v>0</v>
      </c>
      <c r="AD87">
        <v>392</v>
      </c>
      <c r="AE87">
        <v>0</v>
      </c>
      <c r="AF87" t="s">
        <v>524</v>
      </c>
      <c r="AG87">
        <v>0</v>
      </c>
      <c r="AH87">
        <v>0</v>
      </c>
      <c r="AI87" t="s">
        <v>524</v>
      </c>
      <c r="AJ87">
        <v>0</v>
      </c>
      <c r="AK87" t="s">
        <v>525</v>
      </c>
      <c r="AL87">
        <v>0</v>
      </c>
      <c r="AM87" t="s">
        <v>524</v>
      </c>
      <c r="AN87">
        <v>0</v>
      </c>
      <c r="AO87" s="35">
        <v>450.74</v>
      </c>
      <c r="AP87" s="35">
        <v>559.37</v>
      </c>
      <c r="AQ87" s="35">
        <v>662.33</v>
      </c>
      <c r="AR87" s="35">
        <v>610.85</v>
      </c>
      <c r="AS87" s="35">
        <v>502.63</v>
      </c>
      <c r="AT87" s="35">
        <v>399.66999999999996</v>
      </c>
      <c r="AU87" s="37">
        <v>27.49</v>
      </c>
      <c r="AV87" s="30">
        <v>34.57</v>
      </c>
      <c r="AW87" s="30">
        <v>0.27</v>
      </c>
      <c r="AX87" s="35">
        <v>1452.48</v>
      </c>
      <c r="AY87" s="30">
        <v>0.17</v>
      </c>
      <c r="AZ87" s="35">
        <v>2307.4699999999998</v>
      </c>
      <c r="BA87"/>
      <c r="BB87"/>
    </row>
    <row r="88" spans="1:54" x14ac:dyDescent="0.3">
      <c r="A88" t="s">
        <v>373</v>
      </c>
      <c r="B88">
        <v>171.32</v>
      </c>
      <c r="D88">
        <v>0.1</v>
      </c>
      <c r="E88">
        <v>25</v>
      </c>
      <c r="F88">
        <v>443.48</v>
      </c>
      <c r="G88">
        <v>46</v>
      </c>
      <c r="H88">
        <v>46</v>
      </c>
      <c r="I88">
        <v>25</v>
      </c>
      <c r="J88">
        <v>80</v>
      </c>
      <c r="K88">
        <v>80</v>
      </c>
      <c r="L88">
        <v>30</v>
      </c>
      <c r="M88">
        <v>10</v>
      </c>
      <c r="N88">
        <v>80</v>
      </c>
      <c r="O88">
        <v>28</v>
      </c>
      <c r="P88">
        <v>33</v>
      </c>
      <c r="Q88" t="s">
        <v>619</v>
      </c>
      <c r="R88" t="s">
        <v>620</v>
      </c>
      <c r="S88" t="b">
        <v>0</v>
      </c>
      <c r="T88" t="b">
        <v>1</v>
      </c>
      <c r="U88" t="s">
        <v>524</v>
      </c>
      <c r="V88">
        <v>6724</v>
      </c>
      <c r="W88">
        <v>9017</v>
      </c>
      <c r="X88">
        <v>11174</v>
      </c>
      <c r="Y88">
        <v>19382</v>
      </c>
      <c r="Z88">
        <v>15152</v>
      </c>
      <c r="AA88">
        <v>0</v>
      </c>
      <c r="AB88">
        <v>0</v>
      </c>
      <c r="AC88" t="b">
        <v>1</v>
      </c>
      <c r="AD88">
        <v>4263</v>
      </c>
      <c r="AE88">
        <v>7404</v>
      </c>
      <c r="AF88" t="s">
        <v>524</v>
      </c>
      <c r="AG88">
        <v>0.83</v>
      </c>
      <c r="AH88">
        <v>0</v>
      </c>
      <c r="AI88" t="s">
        <v>524</v>
      </c>
      <c r="AJ88">
        <v>0</v>
      </c>
      <c r="AK88" t="s">
        <v>653</v>
      </c>
      <c r="AL88">
        <v>0</v>
      </c>
      <c r="AM88" t="s">
        <v>524</v>
      </c>
      <c r="AN88">
        <v>0</v>
      </c>
      <c r="AO88" s="35">
        <v>4242.5600000000004</v>
      </c>
      <c r="AP88" s="35">
        <v>4484.88</v>
      </c>
      <c r="AQ88" s="35">
        <v>4882.3600000000006</v>
      </c>
      <c r="AR88" s="35">
        <v>4683.6200000000008</v>
      </c>
      <c r="AS88" s="35">
        <v>6404.12</v>
      </c>
      <c r="AT88" s="35">
        <v>6006.6399999999994</v>
      </c>
      <c r="AU88" s="37">
        <v>39.64</v>
      </c>
      <c r="AV88" s="30">
        <v>42.27</v>
      </c>
      <c r="AW88" s="30">
        <v>0.38100000000000001</v>
      </c>
      <c r="AX88" s="35">
        <v>11192.18</v>
      </c>
      <c r="AY88" s="30">
        <v>0.28100000000000003</v>
      </c>
      <c r="AZ88" s="35">
        <v>15176.71</v>
      </c>
      <c r="BA88"/>
      <c r="BB88"/>
    </row>
    <row r="89" spans="1:54" x14ac:dyDescent="0.3">
      <c r="A89" t="s">
        <v>377</v>
      </c>
      <c r="B89">
        <v>190.46</v>
      </c>
      <c r="D89">
        <v>0.1</v>
      </c>
      <c r="E89">
        <v>25</v>
      </c>
      <c r="F89">
        <v>483.76</v>
      </c>
      <c r="G89">
        <v>46</v>
      </c>
      <c r="H89">
        <v>46</v>
      </c>
      <c r="I89">
        <v>25</v>
      </c>
      <c r="J89">
        <v>80</v>
      </c>
      <c r="K89">
        <v>80</v>
      </c>
      <c r="L89">
        <v>30</v>
      </c>
      <c r="M89">
        <v>10</v>
      </c>
      <c r="N89">
        <v>80</v>
      </c>
      <c r="O89">
        <v>28</v>
      </c>
      <c r="P89">
        <v>33</v>
      </c>
      <c r="Q89" t="s">
        <v>619</v>
      </c>
      <c r="R89" t="s">
        <v>620</v>
      </c>
      <c r="S89" t="b">
        <v>0</v>
      </c>
      <c r="T89" t="b">
        <v>1</v>
      </c>
      <c r="U89" t="s">
        <v>524</v>
      </c>
      <c r="V89">
        <v>10024</v>
      </c>
      <c r="W89">
        <v>10024</v>
      </c>
      <c r="X89">
        <v>7256</v>
      </c>
      <c r="Y89">
        <v>12039</v>
      </c>
      <c r="Z89">
        <v>10024</v>
      </c>
      <c r="AA89">
        <v>0</v>
      </c>
      <c r="AB89">
        <v>0</v>
      </c>
      <c r="AC89" t="b">
        <v>1</v>
      </c>
      <c r="AD89">
        <v>2631</v>
      </c>
      <c r="AE89">
        <v>0</v>
      </c>
      <c r="AF89" t="s">
        <v>524</v>
      </c>
      <c r="AG89">
        <v>0</v>
      </c>
      <c r="AH89">
        <v>0</v>
      </c>
      <c r="AI89" t="s">
        <v>524</v>
      </c>
      <c r="AJ89">
        <v>0</v>
      </c>
      <c r="AK89" t="s">
        <v>525</v>
      </c>
      <c r="AL89">
        <v>0</v>
      </c>
      <c r="AM89" t="s">
        <v>524</v>
      </c>
      <c r="AN89">
        <v>0</v>
      </c>
      <c r="AO89" s="35">
        <v>2806.7200000000003</v>
      </c>
      <c r="AP89" s="35">
        <v>3068.1800000000003</v>
      </c>
      <c r="AQ89" s="35">
        <v>3505.9400000000005</v>
      </c>
      <c r="AR89" s="35">
        <v>3287.0600000000004</v>
      </c>
      <c r="AS89" s="35">
        <v>4324.82</v>
      </c>
      <c r="AT89" s="35">
        <v>3887.0599999999995</v>
      </c>
      <c r="AU89" s="37">
        <v>38.78</v>
      </c>
      <c r="AV89" s="30">
        <v>43.14</v>
      </c>
      <c r="AW89" s="30">
        <v>0.36199999999999999</v>
      </c>
      <c r="AX89" s="35">
        <v>7266.33</v>
      </c>
      <c r="AY89" s="30">
        <v>0.26200000000000001</v>
      </c>
      <c r="AZ89" s="35">
        <v>10038.879999999999</v>
      </c>
      <c r="BA89"/>
      <c r="BB89"/>
    </row>
    <row r="90" spans="1:54" x14ac:dyDescent="0.3">
      <c r="A90" t="s">
        <v>379</v>
      </c>
      <c r="B90">
        <v>120.27</v>
      </c>
      <c r="D90">
        <v>0.1</v>
      </c>
      <c r="E90">
        <v>25</v>
      </c>
      <c r="F90">
        <v>336</v>
      </c>
      <c r="G90">
        <v>46</v>
      </c>
      <c r="H90">
        <v>46</v>
      </c>
      <c r="I90">
        <v>25</v>
      </c>
      <c r="J90">
        <v>80</v>
      </c>
      <c r="K90">
        <v>80</v>
      </c>
      <c r="L90">
        <v>30</v>
      </c>
      <c r="M90">
        <v>10</v>
      </c>
      <c r="N90">
        <v>80</v>
      </c>
      <c r="O90">
        <v>28</v>
      </c>
      <c r="P90">
        <v>33</v>
      </c>
      <c r="Q90" t="s">
        <v>619</v>
      </c>
      <c r="R90" t="s">
        <v>620</v>
      </c>
      <c r="S90" t="b">
        <v>0</v>
      </c>
      <c r="T90" t="b">
        <v>1</v>
      </c>
      <c r="U90" t="s">
        <v>524</v>
      </c>
      <c r="V90">
        <v>6330</v>
      </c>
      <c r="W90">
        <v>6330</v>
      </c>
      <c r="X90">
        <v>4557</v>
      </c>
      <c r="Y90">
        <v>7528</v>
      </c>
      <c r="Z90">
        <v>6330</v>
      </c>
      <c r="AA90">
        <v>0</v>
      </c>
      <c r="AB90">
        <v>0</v>
      </c>
      <c r="AC90" t="b">
        <v>1</v>
      </c>
      <c r="AD90">
        <v>1628</v>
      </c>
      <c r="AE90">
        <v>0</v>
      </c>
      <c r="AF90" t="s">
        <v>524</v>
      </c>
      <c r="AG90">
        <v>0</v>
      </c>
      <c r="AH90">
        <v>0</v>
      </c>
      <c r="AI90" t="s">
        <v>524</v>
      </c>
      <c r="AJ90">
        <v>0</v>
      </c>
      <c r="AK90" t="s">
        <v>525</v>
      </c>
      <c r="AL90">
        <v>0</v>
      </c>
      <c r="AM90" t="s">
        <v>524</v>
      </c>
      <c r="AN90">
        <v>0</v>
      </c>
      <c r="AO90" s="35">
        <v>1772.4</v>
      </c>
      <c r="AP90" s="35">
        <v>1963.67</v>
      </c>
      <c r="AQ90" s="35">
        <v>2253.67</v>
      </c>
      <c r="AR90" s="35">
        <v>2108.67</v>
      </c>
      <c r="AS90" s="35">
        <v>2738.33</v>
      </c>
      <c r="AT90" s="35">
        <v>2448.33</v>
      </c>
      <c r="AU90" s="37">
        <v>38.68</v>
      </c>
      <c r="AV90" s="30">
        <v>43.26</v>
      </c>
      <c r="AW90" s="30">
        <v>0.35699999999999998</v>
      </c>
      <c r="AX90" s="35">
        <v>4561.8</v>
      </c>
      <c r="AY90" s="30">
        <v>0.25700000000000001</v>
      </c>
      <c r="AZ90" s="35">
        <v>6337.67</v>
      </c>
      <c r="BA90"/>
      <c r="BB90"/>
    </row>
    <row r="91" spans="1:54" x14ac:dyDescent="0.3">
      <c r="A91" t="s">
        <v>381</v>
      </c>
      <c r="B91">
        <v>49.48</v>
      </c>
      <c r="D91">
        <v>0.1</v>
      </c>
      <c r="E91">
        <v>25</v>
      </c>
      <c r="F91">
        <v>186.96</v>
      </c>
      <c r="G91">
        <v>46</v>
      </c>
      <c r="H91">
        <v>46</v>
      </c>
      <c r="I91">
        <v>25</v>
      </c>
      <c r="J91">
        <v>80</v>
      </c>
      <c r="K91">
        <v>80</v>
      </c>
      <c r="L91">
        <v>30</v>
      </c>
      <c r="M91">
        <v>10</v>
      </c>
      <c r="N91">
        <v>80</v>
      </c>
      <c r="O91">
        <v>23</v>
      </c>
      <c r="P91">
        <v>27</v>
      </c>
      <c r="Q91" t="s">
        <v>619</v>
      </c>
      <c r="R91" t="s">
        <v>620</v>
      </c>
      <c r="S91" t="b">
        <v>0</v>
      </c>
      <c r="T91" t="b">
        <v>1</v>
      </c>
      <c r="U91" t="s">
        <v>524</v>
      </c>
      <c r="V91">
        <v>1978</v>
      </c>
      <c r="W91">
        <v>2604</v>
      </c>
      <c r="X91">
        <v>1958</v>
      </c>
      <c r="Y91">
        <v>3751</v>
      </c>
      <c r="Z91">
        <v>2604</v>
      </c>
      <c r="AA91">
        <v>0</v>
      </c>
      <c r="AB91">
        <v>0</v>
      </c>
      <c r="AC91" t="b">
        <v>1</v>
      </c>
      <c r="AD91">
        <v>789</v>
      </c>
      <c r="AE91">
        <v>0</v>
      </c>
      <c r="AF91" t="s">
        <v>524</v>
      </c>
      <c r="AG91">
        <v>0</v>
      </c>
      <c r="AH91">
        <v>0</v>
      </c>
      <c r="AI91" t="s">
        <v>524</v>
      </c>
      <c r="AJ91">
        <v>0</v>
      </c>
      <c r="AK91" t="s">
        <v>525</v>
      </c>
      <c r="AL91">
        <v>0</v>
      </c>
      <c r="AM91" t="s">
        <v>524</v>
      </c>
      <c r="AN91">
        <v>0</v>
      </c>
      <c r="AO91" s="35">
        <v>598.92000000000007</v>
      </c>
      <c r="AP91" s="35">
        <v>719.40000000000009</v>
      </c>
      <c r="AQ91" s="35">
        <v>860.36000000000013</v>
      </c>
      <c r="AR91" s="35">
        <v>789.88000000000011</v>
      </c>
      <c r="AS91" s="35">
        <v>1095.5999999999999</v>
      </c>
      <c r="AT91" s="35">
        <v>954.63999999999987</v>
      </c>
      <c r="AU91" s="37">
        <v>36.659999999999997</v>
      </c>
      <c r="AV91" s="30">
        <v>42.07</v>
      </c>
      <c r="AW91" s="30">
        <v>0.38700000000000001</v>
      </c>
      <c r="AX91" s="35">
        <v>2040.52</v>
      </c>
      <c r="AY91" s="30">
        <v>0.28699999999999998</v>
      </c>
      <c r="AZ91" s="35">
        <v>2752.33</v>
      </c>
      <c r="BA91"/>
      <c r="BB91"/>
    </row>
    <row r="92" spans="1:54" x14ac:dyDescent="0.3">
      <c r="A92" t="s">
        <v>384</v>
      </c>
      <c r="B92">
        <v>70.680000000000007</v>
      </c>
      <c r="D92">
        <v>0.1</v>
      </c>
      <c r="E92">
        <v>25</v>
      </c>
      <c r="F92">
        <v>231.6</v>
      </c>
      <c r="G92">
        <v>46</v>
      </c>
      <c r="H92">
        <v>46</v>
      </c>
      <c r="I92">
        <v>25</v>
      </c>
      <c r="J92">
        <v>80</v>
      </c>
      <c r="K92">
        <v>80</v>
      </c>
      <c r="L92">
        <v>30</v>
      </c>
      <c r="M92">
        <v>10</v>
      </c>
      <c r="N92">
        <v>80</v>
      </c>
      <c r="O92">
        <v>23</v>
      </c>
      <c r="P92">
        <v>27</v>
      </c>
      <c r="Q92" t="s">
        <v>619</v>
      </c>
      <c r="R92" t="s">
        <v>620</v>
      </c>
      <c r="S92" t="b">
        <v>0</v>
      </c>
      <c r="T92" t="b">
        <v>1</v>
      </c>
      <c r="U92" t="s">
        <v>524</v>
      </c>
      <c r="V92">
        <v>2805</v>
      </c>
      <c r="W92">
        <v>3720</v>
      </c>
      <c r="X92">
        <v>4583</v>
      </c>
      <c r="Y92">
        <v>8892</v>
      </c>
      <c r="Z92">
        <v>6010</v>
      </c>
      <c r="AA92">
        <v>0</v>
      </c>
      <c r="AB92">
        <v>0</v>
      </c>
      <c r="AC92" t="b">
        <v>1</v>
      </c>
      <c r="AD92">
        <v>1931</v>
      </c>
      <c r="AE92">
        <v>0</v>
      </c>
      <c r="AF92" t="s">
        <v>524</v>
      </c>
      <c r="AG92">
        <v>0</v>
      </c>
      <c r="AH92">
        <v>0</v>
      </c>
      <c r="AI92" t="s">
        <v>524</v>
      </c>
      <c r="AJ92">
        <v>0</v>
      </c>
      <c r="AK92" t="s">
        <v>525</v>
      </c>
      <c r="AL92">
        <v>0</v>
      </c>
      <c r="AM92" t="s">
        <v>524</v>
      </c>
      <c r="AN92">
        <v>0</v>
      </c>
      <c r="AO92" s="35">
        <v>1382.3</v>
      </c>
      <c r="AP92" s="35">
        <v>1523.98</v>
      </c>
      <c r="AQ92" s="35">
        <v>1709.58</v>
      </c>
      <c r="AR92" s="35">
        <v>1616.78</v>
      </c>
      <c r="AS92" s="35">
        <v>2555.02</v>
      </c>
      <c r="AT92" s="35">
        <v>2369.42</v>
      </c>
      <c r="AU92" s="37">
        <v>39.42</v>
      </c>
      <c r="AV92" s="30">
        <v>42.51</v>
      </c>
      <c r="AW92" s="30">
        <v>0.42099999999999999</v>
      </c>
      <c r="AX92" s="35">
        <v>4586.8599999999997</v>
      </c>
      <c r="AY92" s="30">
        <v>0.32100000000000001</v>
      </c>
      <c r="AZ92" s="35">
        <v>6015.86</v>
      </c>
      <c r="BA92"/>
      <c r="BB92"/>
    </row>
    <row r="93" spans="1:54" x14ac:dyDescent="0.3">
      <c r="A93" t="s">
        <v>385</v>
      </c>
      <c r="B93">
        <v>222.05</v>
      </c>
      <c r="D93">
        <v>0.1</v>
      </c>
      <c r="E93">
        <v>25</v>
      </c>
      <c r="F93">
        <v>550.28</v>
      </c>
      <c r="G93">
        <v>46</v>
      </c>
      <c r="H93">
        <v>46</v>
      </c>
      <c r="I93">
        <v>25</v>
      </c>
      <c r="J93">
        <v>80</v>
      </c>
      <c r="K93">
        <v>80</v>
      </c>
      <c r="L93">
        <v>30</v>
      </c>
      <c r="M93">
        <v>10</v>
      </c>
      <c r="N93">
        <v>80</v>
      </c>
      <c r="O93">
        <v>23</v>
      </c>
      <c r="P93">
        <v>27</v>
      </c>
      <c r="Q93" t="s">
        <v>619</v>
      </c>
      <c r="R93" t="s">
        <v>620</v>
      </c>
      <c r="S93" t="b">
        <v>0</v>
      </c>
      <c r="T93" t="b">
        <v>1</v>
      </c>
      <c r="U93" t="s">
        <v>524</v>
      </c>
      <c r="V93">
        <v>9497</v>
      </c>
      <c r="W93">
        <v>11687</v>
      </c>
      <c r="X93">
        <v>8860</v>
      </c>
      <c r="Y93">
        <v>16707</v>
      </c>
      <c r="Z93">
        <v>11687</v>
      </c>
      <c r="AA93">
        <v>0</v>
      </c>
      <c r="AB93">
        <v>0</v>
      </c>
      <c r="AC93" t="b">
        <v>1</v>
      </c>
      <c r="AD93">
        <v>3668</v>
      </c>
      <c r="AE93">
        <v>0</v>
      </c>
      <c r="AF93" t="s">
        <v>524</v>
      </c>
      <c r="AG93">
        <v>0</v>
      </c>
      <c r="AH93">
        <v>0</v>
      </c>
      <c r="AI93" t="s">
        <v>524</v>
      </c>
      <c r="AJ93">
        <v>0</v>
      </c>
      <c r="AK93" t="s">
        <v>525</v>
      </c>
      <c r="AL93">
        <v>0</v>
      </c>
      <c r="AM93" t="s">
        <v>524</v>
      </c>
      <c r="AN93">
        <v>0</v>
      </c>
      <c r="AO93" s="35">
        <v>2688.01</v>
      </c>
      <c r="AP93" s="35">
        <v>2981.0600000000004</v>
      </c>
      <c r="AQ93" s="35">
        <v>3485.34</v>
      </c>
      <c r="AR93" s="35">
        <v>3233.2000000000003</v>
      </c>
      <c r="AS93" s="35">
        <v>5037.9399999999996</v>
      </c>
      <c r="AT93" s="35">
        <v>4533.66</v>
      </c>
      <c r="AU93" s="37">
        <v>38.79</v>
      </c>
      <c r="AV93" s="30">
        <v>43.11</v>
      </c>
      <c r="AW93" s="30">
        <v>0.41299999999999998</v>
      </c>
      <c r="AX93" s="35">
        <v>8873.82</v>
      </c>
      <c r="AY93" s="30">
        <v>0.313</v>
      </c>
      <c r="AZ93" s="35">
        <v>11705.73</v>
      </c>
      <c r="BA93"/>
      <c r="BB93"/>
    </row>
    <row r="94" spans="1:54" x14ac:dyDescent="0.3">
      <c r="A94" t="s">
        <v>386</v>
      </c>
      <c r="B94">
        <v>25.14</v>
      </c>
      <c r="D94">
        <v>0.1</v>
      </c>
      <c r="E94">
        <v>25</v>
      </c>
      <c r="F94">
        <v>135.72</v>
      </c>
      <c r="G94">
        <v>46</v>
      </c>
      <c r="H94">
        <v>46</v>
      </c>
      <c r="I94">
        <v>25</v>
      </c>
      <c r="J94">
        <v>80</v>
      </c>
      <c r="K94">
        <v>80</v>
      </c>
      <c r="L94">
        <v>30</v>
      </c>
      <c r="M94">
        <v>10</v>
      </c>
      <c r="N94">
        <v>80</v>
      </c>
      <c r="O94">
        <v>23</v>
      </c>
      <c r="P94">
        <v>27</v>
      </c>
      <c r="Q94" t="s">
        <v>619</v>
      </c>
      <c r="R94" t="s">
        <v>620</v>
      </c>
      <c r="S94" t="b">
        <v>0</v>
      </c>
      <c r="T94" t="b">
        <v>1</v>
      </c>
      <c r="U94" t="s">
        <v>524</v>
      </c>
      <c r="V94">
        <v>1323</v>
      </c>
      <c r="W94">
        <v>1323</v>
      </c>
      <c r="X94">
        <v>1702</v>
      </c>
      <c r="Y94">
        <v>3251</v>
      </c>
      <c r="Z94">
        <v>2272</v>
      </c>
      <c r="AA94">
        <v>0</v>
      </c>
      <c r="AB94">
        <v>0</v>
      </c>
      <c r="AC94" t="b">
        <v>1</v>
      </c>
      <c r="AD94">
        <v>678</v>
      </c>
      <c r="AE94">
        <v>0</v>
      </c>
      <c r="AF94" t="s">
        <v>524</v>
      </c>
      <c r="AG94">
        <v>0</v>
      </c>
      <c r="AH94">
        <v>0</v>
      </c>
      <c r="AI94" t="s">
        <v>524</v>
      </c>
      <c r="AJ94">
        <v>0</v>
      </c>
      <c r="AK94" t="s">
        <v>525</v>
      </c>
      <c r="AL94">
        <v>0</v>
      </c>
      <c r="AM94" t="s">
        <v>524</v>
      </c>
      <c r="AN94">
        <v>0</v>
      </c>
      <c r="AO94" s="35">
        <v>522.56000000000006</v>
      </c>
      <c r="AP94" s="35">
        <v>618.70000000000005</v>
      </c>
      <c r="AQ94" s="35">
        <v>708.42000000000007</v>
      </c>
      <c r="AR94" s="35">
        <v>663.56000000000006</v>
      </c>
      <c r="AS94" s="35">
        <v>975.3</v>
      </c>
      <c r="AT94" s="35">
        <v>885.57999999999993</v>
      </c>
      <c r="AU94" s="37">
        <v>38.979999999999997</v>
      </c>
      <c r="AV94" s="30">
        <v>42.93</v>
      </c>
      <c r="AW94" s="30">
        <v>0.39800000000000002</v>
      </c>
      <c r="AX94" s="35">
        <v>1703.77</v>
      </c>
      <c r="AY94" s="30">
        <v>0.29799999999999999</v>
      </c>
      <c r="AZ94" s="35">
        <v>2275.62</v>
      </c>
      <c r="BA94"/>
      <c r="BB94"/>
    </row>
    <row r="95" spans="1:54" x14ac:dyDescent="0.3">
      <c r="A95" t="s">
        <v>569</v>
      </c>
      <c r="B95">
        <v>33.46</v>
      </c>
      <c r="D95">
        <v>0.3</v>
      </c>
      <c r="E95">
        <v>25</v>
      </c>
      <c r="F95">
        <v>171.24</v>
      </c>
      <c r="G95">
        <v>56</v>
      </c>
      <c r="H95">
        <v>56</v>
      </c>
      <c r="I95">
        <v>25</v>
      </c>
      <c r="J95">
        <v>98</v>
      </c>
      <c r="K95">
        <v>98</v>
      </c>
      <c r="L95">
        <v>30</v>
      </c>
      <c r="M95">
        <v>10</v>
      </c>
      <c r="N95">
        <v>98</v>
      </c>
      <c r="O95">
        <v>31</v>
      </c>
      <c r="P95">
        <v>39</v>
      </c>
      <c r="S95" t="b">
        <v>0</v>
      </c>
      <c r="T95" t="b">
        <v>0</v>
      </c>
      <c r="U95" t="s">
        <v>524</v>
      </c>
      <c r="V95">
        <v>1217</v>
      </c>
      <c r="W95">
        <v>1761</v>
      </c>
      <c r="X95">
        <v>1301</v>
      </c>
      <c r="Y95">
        <v>2438</v>
      </c>
      <c r="Z95">
        <v>1761</v>
      </c>
      <c r="AA95">
        <v>0</v>
      </c>
      <c r="AB95">
        <v>0</v>
      </c>
      <c r="AC95" t="b">
        <v>0</v>
      </c>
      <c r="AD95">
        <v>497</v>
      </c>
      <c r="AE95">
        <v>0</v>
      </c>
      <c r="AF95" t="s">
        <v>524</v>
      </c>
      <c r="AG95">
        <v>0</v>
      </c>
      <c r="AH95">
        <v>0</v>
      </c>
      <c r="AI95" t="s">
        <v>524</v>
      </c>
      <c r="AJ95">
        <v>0</v>
      </c>
      <c r="AK95" t="s">
        <v>525</v>
      </c>
      <c r="AL95">
        <v>0</v>
      </c>
      <c r="AM95" t="s">
        <v>524</v>
      </c>
      <c r="AN95">
        <v>0</v>
      </c>
      <c r="AO95" s="35">
        <v>545.91</v>
      </c>
      <c r="AP95" s="35">
        <v>660.37</v>
      </c>
      <c r="AQ95" s="35">
        <v>775.61</v>
      </c>
      <c r="AR95" s="35">
        <v>717.99</v>
      </c>
      <c r="AS95" s="35">
        <v>603.63</v>
      </c>
      <c r="AT95" s="35">
        <v>488.39</v>
      </c>
      <c r="AU95" s="37">
        <v>27.73</v>
      </c>
      <c r="AV95" s="30">
        <v>34.28</v>
      </c>
      <c r="AW95" s="30">
        <v>0.28199999999999997</v>
      </c>
      <c r="AX95" s="35">
        <v>1760.65</v>
      </c>
      <c r="AY95" s="30">
        <v>0.182</v>
      </c>
      <c r="AZ95" s="35">
        <v>2726.53</v>
      </c>
    </row>
    <row r="96" spans="1:54" x14ac:dyDescent="0.3">
      <c r="A96" t="s">
        <v>572</v>
      </c>
      <c r="B96">
        <v>33.46</v>
      </c>
      <c r="D96">
        <v>0.3</v>
      </c>
      <c r="E96">
        <v>25</v>
      </c>
      <c r="F96">
        <v>171.24</v>
      </c>
      <c r="G96">
        <v>56</v>
      </c>
      <c r="H96">
        <v>56</v>
      </c>
      <c r="I96">
        <v>25</v>
      </c>
      <c r="J96">
        <v>98</v>
      </c>
      <c r="K96">
        <v>98</v>
      </c>
      <c r="L96">
        <v>30</v>
      </c>
      <c r="M96">
        <v>10</v>
      </c>
      <c r="N96">
        <v>98</v>
      </c>
      <c r="O96">
        <v>31</v>
      </c>
      <c r="P96">
        <v>39</v>
      </c>
      <c r="S96" t="b">
        <v>0</v>
      </c>
      <c r="T96" t="b">
        <v>0</v>
      </c>
      <c r="U96" t="s">
        <v>524</v>
      </c>
      <c r="V96">
        <v>1179</v>
      </c>
      <c r="W96">
        <v>1761</v>
      </c>
      <c r="X96">
        <v>1301</v>
      </c>
      <c r="Y96">
        <v>2438</v>
      </c>
      <c r="Z96">
        <v>1761</v>
      </c>
      <c r="AA96">
        <v>0</v>
      </c>
      <c r="AB96">
        <v>0</v>
      </c>
      <c r="AC96" t="b">
        <v>0</v>
      </c>
      <c r="AD96">
        <v>497</v>
      </c>
      <c r="AE96">
        <v>0</v>
      </c>
      <c r="AF96" t="s">
        <v>524</v>
      </c>
      <c r="AG96">
        <v>0</v>
      </c>
      <c r="AH96">
        <v>0</v>
      </c>
      <c r="AI96" t="s">
        <v>524</v>
      </c>
      <c r="AJ96">
        <v>0</v>
      </c>
      <c r="AK96" t="s">
        <v>525</v>
      </c>
      <c r="AL96">
        <v>0</v>
      </c>
      <c r="AM96" t="s">
        <v>524</v>
      </c>
      <c r="AN96">
        <v>0</v>
      </c>
      <c r="AO96" s="35">
        <v>545.91</v>
      </c>
      <c r="AP96" s="35">
        <v>660.37</v>
      </c>
      <c r="AQ96" s="35">
        <v>775.61</v>
      </c>
      <c r="AR96" s="35">
        <v>717.99</v>
      </c>
      <c r="AS96" s="35">
        <v>603.63</v>
      </c>
      <c r="AT96" s="35">
        <v>488.39</v>
      </c>
      <c r="AU96" s="37">
        <v>27.73</v>
      </c>
      <c r="AV96" s="30">
        <v>34.28</v>
      </c>
      <c r="AW96" s="30">
        <v>0.28199999999999997</v>
      </c>
      <c r="AX96" s="35">
        <v>1760.65</v>
      </c>
      <c r="AY96" s="30">
        <v>0.182</v>
      </c>
      <c r="AZ96" s="35">
        <v>2726.53</v>
      </c>
    </row>
    <row r="97" spans="1:55" x14ac:dyDescent="0.3">
      <c r="A97" t="s">
        <v>568</v>
      </c>
      <c r="B97">
        <v>33.46</v>
      </c>
      <c r="D97">
        <v>0.3</v>
      </c>
      <c r="E97">
        <v>25</v>
      </c>
      <c r="F97">
        <v>171.24</v>
      </c>
      <c r="G97">
        <v>56</v>
      </c>
      <c r="H97">
        <v>56</v>
      </c>
      <c r="I97">
        <v>25</v>
      </c>
      <c r="J97">
        <v>98</v>
      </c>
      <c r="K97">
        <v>98</v>
      </c>
      <c r="L97">
        <v>30</v>
      </c>
      <c r="M97">
        <v>10</v>
      </c>
      <c r="N97">
        <v>98</v>
      </c>
      <c r="O97">
        <v>31</v>
      </c>
      <c r="P97">
        <v>39</v>
      </c>
      <c r="S97" t="b">
        <v>0</v>
      </c>
      <c r="T97" t="b">
        <v>0</v>
      </c>
      <c r="U97" t="s">
        <v>524</v>
      </c>
      <c r="V97">
        <v>1217</v>
      </c>
      <c r="W97">
        <v>1761</v>
      </c>
      <c r="X97">
        <v>1301</v>
      </c>
      <c r="Y97">
        <v>2438</v>
      </c>
      <c r="Z97">
        <v>1761</v>
      </c>
      <c r="AA97">
        <v>0</v>
      </c>
      <c r="AB97">
        <v>0</v>
      </c>
      <c r="AC97" t="b">
        <v>0</v>
      </c>
      <c r="AD97">
        <v>497</v>
      </c>
      <c r="AE97">
        <v>0</v>
      </c>
      <c r="AF97" t="s">
        <v>524</v>
      </c>
      <c r="AG97">
        <v>0</v>
      </c>
      <c r="AH97">
        <v>0</v>
      </c>
      <c r="AI97" t="s">
        <v>524</v>
      </c>
      <c r="AJ97">
        <v>0</v>
      </c>
      <c r="AK97" t="s">
        <v>525</v>
      </c>
      <c r="AL97">
        <v>0</v>
      </c>
      <c r="AM97" t="s">
        <v>524</v>
      </c>
      <c r="AN97">
        <v>0</v>
      </c>
      <c r="AO97" s="35">
        <v>545.91</v>
      </c>
      <c r="AP97" s="35">
        <v>660.37</v>
      </c>
      <c r="AQ97" s="35">
        <v>775.61</v>
      </c>
      <c r="AR97" s="35">
        <v>717.99</v>
      </c>
      <c r="AS97" s="35">
        <v>603.63</v>
      </c>
      <c r="AT97" s="35">
        <v>488.39</v>
      </c>
      <c r="AU97" s="37">
        <v>27.73</v>
      </c>
      <c r="AV97" s="30">
        <v>34.28</v>
      </c>
      <c r="AW97" s="30">
        <v>0.28199999999999997</v>
      </c>
      <c r="AX97" s="35">
        <v>1760.65</v>
      </c>
      <c r="AY97" s="30">
        <v>0.182</v>
      </c>
      <c r="AZ97" s="35">
        <v>2726.53</v>
      </c>
    </row>
    <row r="98" spans="1:55" x14ac:dyDescent="0.3">
      <c r="A98" t="s">
        <v>577</v>
      </c>
      <c r="B98">
        <v>33.46</v>
      </c>
      <c r="D98">
        <v>0.3</v>
      </c>
      <c r="E98">
        <v>25</v>
      </c>
      <c r="F98">
        <v>171.24</v>
      </c>
      <c r="G98">
        <v>56</v>
      </c>
      <c r="H98">
        <v>56</v>
      </c>
      <c r="I98">
        <v>25</v>
      </c>
      <c r="J98">
        <v>98</v>
      </c>
      <c r="K98">
        <v>98</v>
      </c>
      <c r="L98">
        <v>30</v>
      </c>
      <c r="M98">
        <v>10</v>
      </c>
      <c r="N98">
        <v>98</v>
      </c>
      <c r="O98">
        <v>31</v>
      </c>
      <c r="P98">
        <v>39</v>
      </c>
      <c r="S98" t="b">
        <v>0</v>
      </c>
      <c r="T98" t="b">
        <v>0</v>
      </c>
      <c r="U98" t="s">
        <v>524</v>
      </c>
      <c r="V98">
        <v>1179</v>
      </c>
      <c r="W98">
        <v>1761</v>
      </c>
      <c r="X98">
        <v>1301</v>
      </c>
      <c r="Y98">
        <v>2438</v>
      </c>
      <c r="Z98">
        <v>1761</v>
      </c>
      <c r="AA98">
        <v>0</v>
      </c>
      <c r="AB98">
        <v>0</v>
      </c>
      <c r="AC98" t="b">
        <v>0</v>
      </c>
      <c r="AD98">
        <v>497</v>
      </c>
      <c r="AE98">
        <v>0</v>
      </c>
      <c r="AF98" t="s">
        <v>524</v>
      </c>
      <c r="AG98">
        <v>0</v>
      </c>
      <c r="AH98">
        <v>0</v>
      </c>
      <c r="AI98" t="s">
        <v>524</v>
      </c>
      <c r="AJ98">
        <v>0</v>
      </c>
      <c r="AK98" t="s">
        <v>525</v>
      </c>
      <c r="AL98">
        <v>0</v>
      </c>
      <c r="AM98" t="s">
        <v>524</v>
      </c>
      <c r="AN98">
        <v>0</v>
      </c>
      <c r="AO98" s="35">
        <v>545.91</v>
      </c>
      <c r="AP98" s="35">
        <v>660.37</v>
      </c>
      <c r="AQ98" s="35">
        <v>775.61</v>
      </c>
      <c r="AR98" s="35">
        <v>717.99</v>
      </c>
      <c r="AS98" s="35">
        <v>603.63</v>
      </c>
      <c r="AT98" s="35">
        <v>488.39</v>
      </c>
      <c r="AU98" s="37">
        <v>27.73</v>
      </c>
      <c r="AV98" s="30">
        <v>34.28</v>
      </c>
      <c r="AW98" s="30">
        <v>0.28199999999999997</v>
      </c>
      <c r="AX98" s="35">
        <v>1760.65</v>
      </c>
      <c r="AY98" s="30">
        <v>0.182</v>
      </c>
      <c r="AZ98" s="35">
        <v>2726.53</v>
      </c>
    </row>
    <row r="99" spans="1:55" x14ac:dyDescent="0.3">
      <c r="A99" t="s">
        <v>581</v>
      </c>
      <c r="B99">
        <v>35.020000000000003</v>
      </c>
      <c r="D99">
        <v>0.4</v>
      </c>
      <c r="E99">
        <v>25</v>
      </c>
      <c r="F99">
        <v>192.52</v>
      </c>
      <c r="G99">
        <v>66</v>
      </c>
      <c r="H99">
        <v>66</v>
      </c>
      <c r="I99">
        <v>25</v>
      </c>
      <c r="J99">
        <v>116</v>
      </c>
      <c r="K99">
        <v>116</v>
      </c>
      <c r="L99">
        <v>30</v>
      </c>
      <c r="M99">
        <v>10</v>
      </c>
      <c r="N99">
        <v>116</v>
      </c>
      <c r="O99">
        <v>31</v>
      </c>
      <c r="P99">
        <v>39</v>
      </c>
      <c r="Q99" t="s">
        <v>619</v>
      </c>
      <c r="R99" t="s">
        <v>620</v>
      </c>
      <c r="S99" t="b">
        <v>0</v>
      </c>
      <c r="T99" t="b">
        <v>0</v>
      </c>
      <c r="U99" t="s">
        <v>524</v>
      </c>
      <c r="V99">
        <v>1234</v>
      </c>
      <c r="W99">
        <v>1843</v>
      </c>
      <c r="X99">
        <v>1879</v>
      </c>
      <c r="Y99">
        <v>3614</v>
      </c>
      <c r="Z99">
        <v>2497</v>
      </c>
      <c r="AA99">
        <v>0</v>
      </c>
      <c r="AB99">
        <v>0</v>
      </c>
      <c r="AC99" t="b">
        <v>0</v>
      </c>
      <c r="AD99">
        <v>759</v>
      </c>
      <c r="AE99">
        <v>0</v>
      </c>
      <c r="AF99" t="s">
        <v>524</v>
      </c>
      <c r="AG99">
        <v>0</v>
      </c>
      <c r="AH99">
        <v>0</v>
      </c>
      <c r="AI99" t="s">
        <v>524</v>
      </c>
      <c r="AJ99">
        <v>0</v>
      </c>
      <c r="AK99" t="s">
        <v>525</v>
      </c>
      <c r="AL99">
        <v>0</v>
      </c>
      <c r="AM99" t="s">
        <v>524</v>
      </c>
      <c r="AN99">
        <v>0</v>
      </c>
      <c r="AO99" s="35">
        <v>774.07</v>
      </c>
      <c r="AP99" s="35">
        <v>900.09</v>
      </c>
      <c r="AQ99" s="35">
        <v>1026.6100000000001</v>
      </c>
      <c r="AR99" s="35">
        <v>963.35000000000014</v>
      </c>
      <c r="AS99" s="35">
        <v>837.91</v>
      </c>
      <c r="AT99" s="35">
        <v>711.38999999999987</v>
      </c>
      <c r="AU99" s="37">
        <v>28.49</v>
      </c>
      <c r="AV99" s="30">
        <v>33.56</v>
      </c>
      <c r="AW99" s="30">
        <v>0.30399999999999999</v>
      </c>
      <c r="AX99" s="35">
        <v>2495.09</v>
      </c>
      <c r="AY99" s="30">
        <v>0.20399999999999999</v>
      </c>
      <c r="AZ99" s="35">
        <v>3717</v>
      </c>
    </row>
    <row r="100" spans="1:55" x14ac:dyDescent="0.3">
      <c r="A100" t="s">
        <v>586</v>
      </c>
      <c r="B100">
        <v>123.5</v>
      </c>
      <c r="D100">
        <v>0.4</v>
      </c>
      <c r="E100">
        <v>25</v>
      </c>
      <c r="F100">
        <v>360.8</v>
      </c>
      <c r="G100">
        <v>56</v>
      </c>
      <c r="H100">
        <v>56</v>
      </c>
      <c r="I100">
        <v>25</v>
      </c>
      <c r="J100">
        <v>98</v>
      </c>
      <c r="K100">
        <v>98</v>
      </c>
      <c r="L100">
        <v>30</v>
      </c>
      <c r="M100">
        <v>10</v>
      </c>
      <c r="N100">
        <v>98</v>
      </c>
      <c r="O100">
        <v>27</v>
      </c>
      <c r="P100">
        <v>36</v>
      </c>
      <c r="S100" t="b">
        <v>0</v>
      </c>
      <c r="T100" t="b">
        <v>1</v>
      </c>
      <c r="U100" t="s">
        <v>524</v>
      </c>
      <c r="V100">
        <v>5201</v>
      </c>
      <c r="W100">
        <v>6500</v>
      </c>
      <c r="X100">
        <v>4720</v>
      </c>
      <c r="Y100">
        <v>7966</v>
      </c>
      <c r="Z100">
        <v>6500</v>
      </c>
      <c r="AA100">
        <v>0</v>
      </c>
      <c r="AB100">
        <v>0</v>
      </c>
      <c r="AC100" t="b">
        <v>1</v>
      </c>
      <c r="AD100">
        <v>1726</v>
      </c>
      <c r="AE100">
        <v>0</v>
      </c>
      <c r="AF100" t="s">
        <v>524</v>
      </c>
      <c r="AG100">
        <v>0</v>
      </c>
      <c r="AH100">
        <v>0</v>
      </c>
      <c r="AI100" t="s">
        <v>524</v>
      </c>
      <c r="AJ100">
        <v>0</v>
      </c>
      <c r="AK100" t="s">
        <v>525</v>
      </c>
      <c r="AL100">
        <v>0</v>
      </c>
      <c r="AM100" t="s">
        <v>524</v>
      </c>
      <c r="AN100">
        <v>0</v>
      </c>
      <c r="AO100" s="35">
        <v>1755.0000000000002</v>
      </c>
      <c r="AP100" s="35">
        <v>1959.5000000000002</v>
      </c>
      <c r="AQ100" s="35">
        <v>2264.3000000000002</v>
      </c>
      <c r="AR100" s="35">
        <v>2111.9</v>
      </c>
      <c r="AS100" s="35">
        <v>2814.5</v>
      </c>
      <c r="AT100" s="35">
        <v>2509.6999999999998</v>
      </c>
      <c r="AU100" s="37">
        <v>38.61</v>
      </c>
      <c r="AV100" s="30">
        <v>43.3</v>
      </c>
      <c r="AW100" s="30">
        <v>0.36499999999999999</v>
      </c>
      <c r="AX100" s="35">
        <v>4727.57</v>
      </c>
      <c r="AY100" s="30">
        <v>0.26500000000000001</v>
      </c>
      <c r="AZ100" s="35">
        <v>6510.94</v>
      </c>
      <c r="BB100" s="9"/>
      <c r="BC100" s="5"/>
    </row>
    <row r="101" spans="1:55" x14ac:dyDescent="0.3">
      <c r="A101" t="s">
        <v>603</v>
      </c>
      <c r="B101">
        <v>82.57</v>
      </c>
      <c r="D101">
        <v>3.8</v>
      </c>
      <c r="E101">
        <v>25</v>
      </c>
      <c r="F101">
        <v>724.64</v>
      </c>
      <c r="G101">
        <v>306</v>
      </c>
      <c r="H101">
        <v>306</v>
      </c>
      <c r="I101">
        <v>25</v>
      </c>
      <c r="J101">
        <v>484</v>
      </c>
      <c r="K101">
        <v>484</v>
      </c>
      <c r="L101">
        <v>30</v>
      </c>
      <c r="M101">
        <v>10</v>
      </c>
      <c r="N101">
        <v>484</v>
      </c>
      <c r="O101">
        <v>31</v>
      </c>
      <c r="P101">
        <v>39</v>
      </c>
      <c r="S101" t="b">
        <v>0</v>
      </c>
      <c r="T101" t="b">
        <v>0</v>
      </c>
      <c r="U101" t="s">
        <v>524</v>
      </c>
      <c r="V101">
        <v>2975</v>
      </c>
      <c r="W101">
        <v>4346</v>
      </c>
      <c r="X101">
        <v>3065</v>
      </c>
      <c r="Y101">
        <v>4876</v>
      </c>
      <c r="Z101">
        <v>4346</v>
      </c>
      <c r="AA101">
        <v>0</v>
      </c>
      <c r="AB101">
        <v>0</v>
      </c>
      <c r="AC101" t="b">
        <v>0</v>
      </c>
      <c r="AD101">
        <v>1039</v>
      </c>
      <c r="AE101">
        <v>0</v>
      </c>
      <c r="AF101" t="s">
        <v>524</v>
      </c>
      <c r="AG101">
        <v>0</v>
      </c>
      <c r="AH101">
        <v>2085</v>
      </c>
      <c r="AI101" t="s">
        <v>524</v>
      </c>
      <c r="AJ101">
        <v>1.23</v>
      </c>
      <c r="AK101" t="s">
        <v>526</v>
      </c>
      <c r="AL101">
        <v>0</v>
      </c>
      <c r="AM101" t="s">
        <v>524</v>
      </c>
      <c r="AN101">
        <v>0</v>
      </c>
      <c r="AO101" s="35">
        <v>1347.26</v>
      </c>
      <c r="AP101" s="35">
        <v>1760.83</v>
      </c>
      <c r="AQ101" s="35">
        <v>2179.4699999999998</v>
      </c>
      <c r="AR101" s="35">
        <v>1970.1499999999999</v>
      </c>
      <c r="AS101" s="35">
        <v>1546.17</v>
      </c>
      <c r="AT101" s="35">
        <v>1127.5300000000002</v>
      </c>
      <c r="AU101" s="37">
        <v>25.94</v>
      </c>
      <c r="AV101" s="30">
        <v>35.58</v>
      </c>
      <c r="AW101" s="30">
        <v>0.23699999999999999</v>
      </c>
      <c r="AX101" s="35">
        <v>4389.9799999999996</v>
      </c>
      <c r="AY101" s="30">
        <v>0.13700000000000001</v>
      </c>
      <c r="AZ101" s="35">
        <v>7601.97</v>
      </c>
      <c r="BB101" s="9"/>
      <c r="BC101" s="5"/>
    </row>
    <row r="102" spans="1:55" x14ac:dyDescent="0.3">
      <c r="A102" t="s">
        <v>590</v>
      </c>
      <c r="B102">
        <v>101.27</v>
      </c>
      <c r="D102">
        <v>4.5</v>
      </c>
      <c r="E102">
        <v>25</v>
      </c>
      <c r="F102">
        <v>872</v>
      </c>
      <c r="G102">
        <v>366</v>
      </c>
      <c r="H102">
        <v>366</v>
      </c>
      <c r="I102">
        <v>25</v>
      </c>
      <c r="J102">
        <v>576</v>
      </c>
      <c r="K102">
        <v>576</v>
      </c>
      <c r="L102">
        <v>30</v>
      </c>
      <c r="M102">
        <v>10</v>
      </c>
      <c r="N102">
        <v>576</v>
      </c>
      <c r="O102">
        <v>31</v>
      </c>
      <c r="P102">
        <v>39</v>
      </c>
      <c r="S102" t="b">
        <v>0</v>
      </c>
      <c r="T102" t="b">
        <v>0</v>
      </c>
      <c r="U102" t="s">
        <v>524</v>
      </c>
      <c r="V102">
        <v>5330</v>
      </c>
      <c r="W102">
        <v>5330</v>
      </c>
      <c r="X102">
        <v>3760</v>
      </c>
      <c r="Y102">
        <v>5941</v>
      </c>
      <c r="Z102">
        <v>5330</v>
      </c>
      <c r="AA102">
        <v>0</v>
      </c>
      <c r="AB102">
        <v>0</v>
      </c>
      <c r="AC102" t="b">
        <v>0</v>
      </c>
      <c r="AD102">
        <v>1276</v>
      </c>
      <c r="AE102">
        <v>0</v>
      </c>
      <c r="AF102" t="s">
        <v>524</v>
      </c>
      <c r="AG102">
        <v>0</v>
      </c>
      <c r="AH102">
        <v>0</v>
      </c>
      <c r="AI102" t="s">
        <v>524</v>
      </c>
      <c r="AJ102">
        <v>0</v>
      </c>
      <c r="AK102" t="s">
        <v>525</v>
      </c>
      <c r="AL102">
        <v>0</v>
      </c>
      <c r="AM102" t="s">
        <v>524</v>
      </c>
      <c r="AN102">
        <v>0</v>
      </c>
      <c r="AO102" s="35">
        <v>1652.3</v>
      </c>
      <c r="AP102" s="35">
        <v>2144.5699999999997</v>
      </c>
      <c r="AQ102" s="35">
        <v>2650.5699999999997</v>
      </c>
      <c r="AR102" s="35">
        <v>2397.5699999999997</v>
      </c>
      <c r="AS102" s="35">
        <v>1909.4300000000003</v>
      </c>
      <c r="AT102" s="35">
        <v>1403.4300000000003</v>
      </c>
      <c r="AU102" s="37">
        <v>26.33</v>
      </c>
      <c r="AV102" s="30">
        <v>35.82</v>
      </c>
      <c r="AW102" s="30">
        <v>0.24</v>
      </c>
      <c r="AX102" s="35">
        <v>5312.8</v>
      </c>
      <c r="AY102" s="30">
        <v>0.14000000000000001</v>
      </c>
      <c r="AZ102" s="35">
        <v>9102.94</v>
      </c>
      <c r="BB102" s="9"/>
      <c r="BC102" s="5"/>
    </row>
    <row r="103" spans="1:55" x14ac:dyDescent="0.3">
      <c r="A103" t="s">
        <v>592</v>
      </c>
      <c r="B103">
        <v>76.27</v>
      </c>
      <c r="D103">
        <v>4.5</v>
      </c>
      <c r="E103">
        <v>25</v>
      </c>
      <c r="F103">
        <v>819.36</v>
      </c>
      <c r="G103">
        <v>366</v>
      </c>
      <c r="H103">
        <v>366</v>
      </c>
      <c r="I103">
        <v>25</v>
      </c>
      <c r="J103">
        <v>576</v>
      </c>
      <c r="K103">
        <v>576</v>
      </c>
      <c r="L103">
        <v>30</v>
      </c>
      <c r="M103">
        <v>10</v>
      </c>
      <c r="N103">
        <v>576</v>
      </c>
      <c r="O103">
        <v>31</v>
      </c>
      <c r="P103">
        <v>39</v>
      </c>
      <c r="S103" t="b">
        <v>0</v>
      </c>
      <c r="T103" t="b">
        <v>0</v>
      </c>
      <c r="U103" t="s">
        <v>524</v>
      </c>
      <c r="V103">
        <v>2748</v>
      </c>
      <c r="W103">
        <v>4014</v>
      </c>
      <c r="X103">
        <v>2858</v>
      </c>
      <c r="Y103">
        <v>4664</v>
      </c>
      <c r="Z103">
        <v>4014</v>
      </c>
      <c r="AA103">
        <v>0</v>
      </c>
      <c r="AB103">
        <v>0</v>
      </c>
      <c r="AC103" t="b">
        <v>0</v>
      </c>
      <c r="AD103">
        <v>992</v>
      </c>
      <c r="AE103">
        <v>0</v>
      </c>
      <c r="AF103" t="s">
        <v>524</v>
      </c>
      <c r="AG103">
        <v>0</v>
      </c>
      <c r="AH103">
        <v>0</v>
      </c>
      <c r="AI103" t="s">
        <v>524</v>
      </c>
      <c r="AJ103">
        <v>0</v>
      </c>
      <c r="AK103" t="s">
        <v>525</v>
      </c>
      <c r="AL103">
        <v>0</v>
      </c>
      <c r="AM103" t="s">
        <v>524</v>
      </c>
      <c r="AN103">
        <v>0</v>
      </c>
      <c r="AO103" s="35">
        <v>1244.3399999999999</v>
      </c>
      <c r="AP103" s="35">
        <v>1711.61</v>
      </c>
      <c r="AQ103" s="35">
        <v>2164.9699999999998</v>
      </c>
      <c r="AR103" s="35">
        <v>1938.29</v>
      </c>
      <c r="AS103" s="35">
        <v>1310.3900000000001</v>
      </c>
      <c r="AT103" s="35">
        <v>857.0300000000002</v>
      </c>
      <c r="AU103" s="37">
        <v>21.35</v>
      </c>
      <c r="AV103" s="30">
        <v>32.65</v>
      </c>
      <c r="AW103" s="30">
        <v>0.20699999999999999</v>
      </c>
      <c r="AX103" s="35">
        <v>4789.55</v>
      </c>
      <c r="AY103" s="30">
        <v>0.107</v>
      </c>
      <c r="AZ103" s="35">
        <v>9260.85</v>
      </c>
      <c r="BB103" s="9"/>
      <c r="BC103" s="5"/>
    </row>
    <row r="104" spans="1:55" x14ac:dyDescent="0.3">
      <c r="A104" t="s">
        <v>607</v>
      </c>
      <c r="B104">
        <v>275.5</v>
      </c>
      <c r="D104">
        <v>3.5</v>
      </c>
      <c r="E104">
        <v>25</v>
      </c>
      <c r="F104">
        <v>1022.8</v>
      </c>
      <c r="G104">
        <v>246</v>
      </c>
      <c r="H104">
        <v>246</v>
      </c>
      <c r="I104">
        <v>25</v>
      </c>
      <c r="J104">
        <v>392</v>
      </c>
      <c r="K104">
        <v>392</v>
      </c>
      <c r="L104">
        <v>30</v>
      </c>
      <c r="M104">
        <v>10</v>
      </c>
      <c r="N104">
        <v>392</v>
      </c>
      <c r="O104">
        <v>28</v>
      </c>
      <c r="P104">
        <v>33</v>
      </c>
      <c r="Q104" t="s">
        <v>619</v>
      </c>
      <c r="R104" t="s">
        <v>620</v>
      </c>
      <c r="S104" t="b">
        <v>0</v>
      </c>
      <c r="T104" t="b">
        <v>0</v>
      </c>
      <c r="U104" t="s">
        <v>524</v>
      </c>
      <c r="V104">
        <v>14500</v>
      </c>
      <c r="W104">
        <v>14500</v>
      </c>
      <c r="X104">
        <v>0</v>
      </c>
      <c r="Y104">
        <v>0</v>
      </c>
      <c r="Z104">
        <v>14500</v>
      </c>
      <c r="AA104">
        <v>0</v>
      </c>
      <c r="AB104">
        <v>0</v>
      </c>
      <c r="AC104" t="b">
        <v>0</v>
      </c>
      <c r="AD104">
        <v>0</v>
      </c>
      <c r="AE104">
        <v>0</v>
      </c>
      <c r="AF104" t="s">
        <v>524</v>
      </c>
      <c r="AG104">
        <v>0</v>
      </c>
      <c r="AH104">
        <v>0</v>
      </c>
      <c r="AI104" t="s">
        <v>524</v>
      </c>
      <c r="AJ104">
        <v>0</v>
      </c>
      <c r="AK104" t="s">
        <v>525</v>
      </c>
      <c r="AL104">
        <v>0</v>
      </c>
      <c r="AM104" t="s">
        <v>524</v>
      </c>
      <c r="AN104">
        <v>0</v>
      </c>
      <c r="AO104" s="35">
        <v>4060.0000000000005</v>
      </c>
      <c r="AP104" s="35">
        <v>4606.5</v>
      </c>
      <c r="AQ104" s="35">
        <v>5383.3</v>
      </c>
      <c r="AR104" s="35">
        <v>4994.8999999999996</v>
      </c>
      <c r="AS104" s="35">
        <v>9893.5</v>
      </c>
      <c r="AT104" s="35">
        <v>9116.7000000000007</v>
      </c>
      <c r="AU104" s="37">
        <v>62.87</v>
      </c>
      <c r="AV104" s="30">
        <v>68.23</v>
      </c>
      <c r="AW104" s="30">
        <v>0.34599999999999997</v>
      </c>
      <c r="AX104" s="35">
        <v>0</v>
      </c>
      <c r="AY104" s="30">
        <v>0.246</v>
      </c>
      <c r="AZ104" s="35">
        <v>0</v>
      </c>
      <c r="BB104" s="9"/>
      <c r="BC104" s="5"/>
    </row>
    <row r="105" spans="1:55" x14ac:dyDescent="0.3">
      <c r="BB105" s="9"/>
      <c r="BC105" s="5"/>
    </row>
    <row r="109" spans="1:55" x14ac:dyDescent="0.3">
      <c r="V109">
        <f>114/6000</f>
        <v>1.9E-2</v>
      </c>
      <c r="AO109" s="24"/>
    </row>
    <row r="110" spans="1:55" x14ac:dyDescent="0.3">
      <c r="V110">
        <f>66.5/3500</f>
        <v>1.9E-2</v>
      </c>
      <c r="AO110" s="24"/>
      <c r="AS110" s="22"/>
      <c r="AW110" s="26"/>
      <c r="AY110"/>
    </row>
    <row r="111" spans="1:55" x14ac:dyDescent="0.3">
      <c r="AS111" s="22"/>
      <c r="AY111"/>
    </row>
    <row r="112" spans="1:55" x14ac:dyDescent="0.3">
      <c r="AO112" s="24"/>
      <c r="AQ112" s="25"/>
      <c r="AS112" s="22"/>
      <c r="AY112"/>
    </row>
    <row r="113" spans="41:51" x14ac:dyDescent="0.3">
      <c r="AS113" s="22"/>
      <c r="AY113"/>
    </row>
    <row r="114" spans="41:51" x14ac:dyDescent="0.3">
      <c r="AO114" s="24"/>
      <c r="AS114" s="22"/>
      <c r="AY114"/>
    </row>
    <row r="115" spans="41:51" x14ac:dyDescent="0.3">
      <c r="AO115" s="24"/>
      <c r="AS115" s="22"/>
      <c r="AY115"/>
    </row>
    <row r="116" spans="41:51" x14ac:dyDescent="0.3">
      <c r="AO116" s="24"/>
    </row>
    <row r="117" spans="41:51" x14ac:dyDescent="0.3">
      <c r="AO117" s="24"/>
    </row>
  </sheetData>
  <phoneticPr fontId="28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389C7-7687-4C87-95B1-08430D4F8C6D}">
  <sheetPr codeName="Лист9">
    <tabColor rgb="FFFFFF00"/>
  </sheetPr>
  <dimension ref="A1:L104"/>
  <sheetViews>
    <sheetView workbookViewId="0"/>
  </sheetViews>
  <sheetFormatPr defaultRowHeight="14.4" x14ac:dyDescent="0.3"/>
  <cols>
    <col min="1" max="1" width="8.21875" bestFit="1" customWidth="1"/>
    <col min="2" max="2" width="12.44140625" bestFit="1" customWidth="1"/>
    <col min="3" max="3" width="35.21875" bestFit="1" customWidth="1"/>
    <col min="4" max="4" width="12.109375" bestFit="1" customWidth="1"/>
    <col min="5" max="5" width="11.6640625" bestFit="1" customWidth="1"/>
    <col min="6" max="6" width="16.109375" bestFit="1" customWidth="1"/>
    <col min="12" max="12" width="37.5546875" bestFit="1" customWidth="1"/>
    <col min="13" max="13" width="18.5546875" bestFit="1" customWidth="1"/>
  </cols>
  <sheetData>
    <row r="1" spans="1:12" x14ac:dyDescent="0.3">
      <c r="A1" t="s">
        <v>534</v>
      </c>
      <c r="B1" t="s">
        <v>486</v>
      </c>
      <c r="C1" t="s">
        <v>535</v>
      </c>
      <c r="D1" t="s">
        <v>536</v>
      </c>
      <c r="E1" t="s">
        <v>537</v>
      </c>
      <c r="F1" t="s">
        <v>538</v>
      </c>
      <c r="L1" t="s">
        <v>616</v>
      </c>
    </row>
    <row r="2" spans="1:12" x14ac:dyDescent="0.3">
      <c r="A2" t="s">
        <v>539</v>
      </c>
      <c r="C2" t="b">
        <v>1</v>
      </c>
      <c r="D2" s="1">
        <v>45999</v>
      </c>
      <c r="E2" s="1">
        <v>45969</v>
      </c>
      <c r="F2">
        <v>30</v>
      </c>
      <c r="L2" s="46" t="s">
        <v>617</v>
      </c>
    </row>
    <row r="3" spans="1:12" x14ac:dyDescent="0.3">
      <c r="A3" t="s">
        <v>539</v>
      </c>
      <c r="C3" t="b">
        <v>1</v>
      </c>
      <c r="D3" s="1">
        <v>45999</v>
      </c>
      <c r="E3" s="1">
        <v>45969</v>
      </c>
      <c r="F3">
        <v>30</v>
      </c>
    </row>
    <row r="4" spans="1:12" x14ac:dyDescent="0.3">
      <c r="A4" t="s">
        <v>539</v>
      </c>
      <c r="C4" t="b">
        <v>1</v>
      </c>
      <c r="D4" s="1">
        <v>45999</v>
      </c>
      <c r="E4" s="1">
        <v>45969</v>
      </c>
      <c r="F4">
        <v>30</v>
      </c>
    </row>
    <row r="5" spans="1:12" x14ac:dyDescent="0.3">
      <c r="A5" t="s">
        <v>539</v>
      </c>
      <c r="C5" t="b">
        <v>1</v>
      </c>
      <c r="D5" s="1">
        <v>45999</v>
      </c>
      <c r="E5" s="1">
        <v>45969</v>
      </c>
      <c r="F5">
        <v>30</v>
      </c>
    </row>
    <row r="6" spans="1:12" x14ac:dyDescent="0.3">
      <c r="A6" t="s">
        <v>539</v>
      </c>
      <c r="C6" t="b">
        <v>1</v>
      </c>
      <c r="D6" s="1">
        <v>45999</v>
      </c>
      <c r="E6" s="1">
        <v>45969</v>
      </c>
      <c r="F6">
        <v>30</v>
      </c>
    </row>
    <row r="7" spans="1:12" x14ac:dyDescent="0.3">
      <c r="A7" t="s">
        <v>539</v>
      </c>
      <c r="C7" t="b">
        <v>1</v>
      </c>
      <c r="D7" s="1">
        <v>45999</v>
      </c>
      <c r="E7" s="1">
        <v>45969</v>
      </c>
      <c r="F7">
        <v>30</v>
      </c>
    </row>
    <row r="8" spans="1:12" x14ac:dyDescent="0.3">
      <c r="A8" t="s">
        <v>539</v>
      </c>
      <c r="C8" t="b">
        <v>1</v>
      </c>
      <c r="D8" s="1">
        <v>45999</v>
      </c>
      <c r="E8" s="1">
        <v>45969</v>
      </c>
      <c r="F8">
        <v>30</v>
      </c>
    </row>
    <row r="9" spans="1:12" x14ac:dyDescent="0.3">
      <c r="A9" t="s">
        <v>539</v>
      </c>
      <c r="C9" t="b">
        <v>1</v>
      </c>
      <c r="D9" s="1">
        <v>45999</v>
      </c>
      <c r="E9" s="1">
        <v>45969</v>
      </c>
      <c r="F9">
        <v>30</v>
      </c>
    </row>
    <row r="10" spans="1:12" x14ac:dyDescent="0.3">
      <c r="A10" t="s">
        <v>539</v>
      </c>
      <c r="C10" t="b">
        <v>1</v>
      </c>
      <c r="D10" s="1">
        <v>45999</v>
      </c>
      <c r="E10" s="1">
        <v>45969</v>
      </c>
      <c r="F10">
        <v>30</v>
      </c>
    </row>
    <row r="11" spans="1:12" x14ac:dyDescent="0.3">
      <c r="A11" t="s">
        <v>539</v>
      </c>
      <c r="C11" t="b">
        <v>1</v>
      </c>
      <c r="D11" s="1">
        <v>45999</v>
      </c>
      <c r="E11" s="1">
        <v>45969</v>
      </c>
      <c r="F11">
        <v>30</v>
      </c>
    </row>
    <row r="12" spans="1:12" x14ac:dyDescent="0.3">
      <c r="A12" t="s">
        <v>539</v>
      </c>
      <c r="C12" t="b">
        <v>1</v>
      </c>
      <c r="D12" s="1">
        <v>45999</v>
      </c>
      <c r="E12" s="1">
        <v>45969</v>
      </c>
      <c r="F12">
        <v>30</v>
      </c>
    </row>
    <row r="13" spans="1:12" x14ac:dyDescent="0.3">
      <c r="A13" t="s">
        <v>539</v>
      </c>
      <c r="C13" t="b">
        <v>1</v>
      </c>
      <c r="D13" s="1">
        <v>45999</v>
      </c>
      <c r="E13" s="1">
        <v>45969</v>
      </c>
      <c r="F13">
        <v>30</v>
      </c>
    </row>
    <row r="14" spans="1:12" x14ac:dyDescent="0.3">
      <c r="A14" t="s">
        <v>539</v>
      </c>
      <c r="C14" t="b">
        <v>1</v>
      </c>
      <c r="D14" s="1">
        <v>45999</v>
      </c>
      <c r="E14" s="1">
        <v>45969</v>
      </c>
      <c r="F14">
        <v>30</v>
      </c>
    </row>
    <row r="15" spans="1:12" x14ac:dyDescent="0.3">
      <c r="A15" t="s">
        <v>539</v>
      </c>
      <c r="C15" t="b">
        <v>1</v>
      </c>
      <c r="D15" s="1">
        <v>45999</v>
      </c>
      <c r="E15" s="1">
        <v>45969</v>
      </c>
      <c r="F15">
        <v>30</v>
      </c>
    </row>
    <row r="16" spans="1:12" x14ac:dyDescent="0.3">
      <c r="A16" t="s">
        <v>539</v>
      </c>
      <c r="C16" t="b">
        <v>1</v>
      </c>
      <c r="D16" s="1">
        <v>45999</v>
      </c>
      <c r="E16" s="1">
        <v>45969</v>
      </c>
      <c r="F16">
        <v>30</v>
      </c>
    </row>
    <row r="17" spans="1:6" x14ac:dyDescent="0.3">
      <c r="A17" t="s">
        <v>539</v>
      </c>
      <c r="C17" t="b">
        <v>1</v>
      </c>
      <c r="D17" s="1">
        <v>45999</v>
      </c>
      <c r="E17" s="1">
        <v>45969</v>
      </c>
      <c r="F17">
        <v>30</v>
      </c>
    </row>
    <row r="18" spans="1:6" x14ac:dyDescent="0.3">
      <c r="A18" t="s">
        <v>539</v>
      </c>
      <c r="C18" t="b">
        <v>1</v>
      </c>
      <c r="D18" s="1">
        <v>45999</v>
      </c>
      <c r="E18" s="1">
        <v>45969</v>
      </c>
      <c r="F18">
        <v>30</v>
      </c>
    </row>
    <row r="19" spans="1:6" x14ac:dyDescent="0.3">
      <c r="A19" t="s">
        <v>539</v>
      </c>
      <c r="C19" t="b">
        <v>1</v>
      </c>
      <c r="D19" s="1">
        <v>45999</v>
      </c>
      <c r="E19" s="1">
        <v>45969</v>
      </c>
      <c r="F19">
        <v>30</v>
      </c>
    </row>
    <row r="20" spans="1:6" x14ac:dyDescent="0.3">
      <c r="A20" t="s">
        <v>539</v>
      </c>
      <c r="C20" t="b">
        <v>1</v>
      </c>
      <c r="D20" s="1">
        <v>45999</v>
      </c>
      <c r="E20" s="1">
        <v>45969</v>
      </c>
      <c r="F20">
        <v>30</v>
      </c>
    </row>
    <row r="21" spans="1:6" x14ac:dyDescent="0.3">
      <c r="A21" t="s">
        <v>539</v>
      </c>
      <c r="C21" t="b">
        <v>1</v>
      </c>
      <c r="D21" s="1">
        <v>45999</v>
      </c>
      <c r="E21" s="1">
        <v>45969</v>
      </c>
      <c r="F21">
        <v>30</v>
      </c>
    </row>
    <row r="22" spans="1:6" x14ac:dyDescent="0.3">
      <c r="A22" t="s">
        <v>539</v>
      </c>
      <c r="C22" t="b">
        <v>1</v>
      </c>
      <c r="D22" s="1">
        <v>45999</v>
      </c>
      <c r="E22" s="1">
        <v>45969</v>
      </c>
      <c r="F22">
        <v>30</v>
      </c>
    </row>
    <row r="23" spans="1:6" x14ac:dyDescent="0.3">
      <c r="A23" t="s">
        <v>539</v>
      </c>
      <c r="C23" t="b">
        <v>1</v>
      </c>
      <c r="D23" s="1">
        <v>45999</v>
      </c>
      <c r="E23" s="1">
        <v>45969</v>
      </c>
      <c r="F23">
        <v>30</v>
      </c>
    </row>
    <row r="24" spans="1:6" x14ac:dyDescent="0.3">
      <c r="A24" t="s">
        <v>539</v>
      </c>
      <c r="C24" t="b">
        <v>1</v>
      </c>
      <c r="D24" s="1">
        <v>45999</v>
      </c>
      <c r="E24" s="1">
        <v>45969</v>
      </c>
      <c r="F24">
        <v>30</v>
      </c>
    </row>
    <row r="25" spans="1:6" x14ac:dyDescent="0.3">
      <c r="A25" t="s">
        <v>539</v>
      </c>
      <c r="C25" t="b">
        <v>1</v>
      </c>
      <c r="D25" s="1">
        <v>45999</v>
      </c>
      <c r="E25" s="1">
        <v>45969</v>
      </c>
      <c r="F25">
        <v>30</v>
      </c>
    </row>
    <row r="26" spans="1:6" x14ac:dyDescent="0.3">
      <c r="A26" t="s">
        <v>539</v>
      </c>
      <c r="C26" t="b">
        <v>1</v>
      </c>
      <c r="D26" s="1">
        <v>45999</v>
      </c>
      <c r="E26" s="1">
        <v>45969</v>
      </c>
      <c r="F26">
        <v>30</v>
      </c>
    </row>
    <row r="27" spans="1:6" x14ac:dyDescent="0.3">
      <c r="A27" t="s">
        <v>539</v>
      </c>
      <c r="C27" t="b">
        <v>1</v>
      </c>
      <c r="D27" s="1">
        <v>45999</v>
      </c>
      <c r="E27" s="1">
        <v>45969</v>
      </c>
      <c r="F27">
        <v>30</v>
      </c>
    </row>
    <row r="28" spans="1:6" x14ac:dyDescent="0.3">
      <c r="A28" t="s">
        <v>539</v>
      </c>
      <c r="C28" t="b">
        <v>1</v>
      </c>
      <c r="D28" s="1">
        <v>45999</v>
      </c>
      <c r="E28" s="1">
        <v>45969</v>
      </c>
      <c r="F28">
        <v>30</v>
      </c>
    </row>
    <row r="29" spans="1:6" x14ac:dyDescent="0.3">
      <c r="A29" t="s">
        <v>539</v>
      </c>
      <c r="C29" t="b">
        <v>1</v>
      </c>
      <c r="D29" s="1">
        <v>45999</v>
      </c>
      <c r="E29" s="1">
        <v>45969</v>
      </c>
      <c r="F29">
        <v>30</v>
      </c>
    </row>
    <row r="30" spans="1:6" x14ac:dyDescent="0.3">
      <c r="A30" t="s">
        <v>539</v>
      </c>
      <c r="C30" t="b">
        <v>1</v>
      </c>
      <c r="D30" s="1">
        <v>45999</v>
      </c>
      <c r="E30" s="1">
        <v>45969</v>
      </c>
      <c r="F30">
        <v>30</v>
      </c>
    </row>
    <row r="31" spans="1:6" x14ac:dyDescent="0.3">
      <c r="A31" t="s">
        <v>539</v>
      </c>
      <c r="C31" t="b">
        <v>1</v>
      </c>
      <c r="D31" s="1">
        <v>45999</v>
      </c>
      <c r="E31" s="1">
        <v>45969</v>
      </c>
      <c r="F31">
        <v>30</v>
      </c>
    </row>
    <row r="32" spans="1:6" x14ac:dyDescent="0.3">
      <c r="A32" t="s">
        <v>539</v>
      </c>
      <c r="C32" t="b">
        <v>1</v>
      </c>
      <c r="D32" s="1">
        <v>45999</v>
      </c>
      <c r="E32" s="1">
        <v>45969</v>
      </c>
      <c r="F32">
        <v>30</v>
      </c>
    </row>
    <row r="33" spans="1:6" x14ac:dyDescent="0.3">
      <c r="A33" t="s">
        <v>539</v>
      </c>
      <c r="C33" t="b">
        <v>1</v>
      </c>
      <c r="D33" s="1">
        <v>45999</v>
      </c>
      <c r="E33" s="1">
        <v>45969</v>
      </c>
      <c r="F33">
        <v>30</v>
      </c>
    </row>
    <row r="34" spans="1:6" x14ac:dyDescent="0.3">
      <c r="A34" t="s">
        <v>539</v>
      </c>
      <c r="C34" t="b">
        <v>1</v>
      </c>
      <c r="D34" s="1">
        <v>45999</v>
      </c>
      <c r="E34" s="1">
        <v>45969</v>
      </c>
      <c r="F34">
        <v>30</v>
      </c>
    </row>
    <row r="35" spans="1:6" x14ac:dyDescent="0.3">
      <c r="A35" t="s">
        <v>539</v>
      </c>
      <c r="C35" t="b">
        <v>1</v>
      </c>
      <c r="D35" s="1">
        <v>45999</v>
      </c>
      <c r="E35" s="1">
        <v>45969</v>
      </c>
      <c r="F35">
        <v>30</v>
      </c>
    </row>
    <row r="36" spans="1:6" x14ac:dyDescent="0.3">
      <c r="A36" t="s">
        <v>539</v>
      </c>
      <c r="C36" t="b">
        <v>1</v>
      </c>
      <c r="D36" s="1">
        <v>45999</v>
      </c>
      <c r="E36" s="1">
        <v>45969</v>
      </c>
      <c r="F36">
        <v>30</v>
      </c>
    </row>
    <row r="37" spans="1:6" x14ac:dyDescent="0.3">
      <c r="A37" t="s">
        <v>539</v>
      </c>
      <c r="C37" t="b">
        <v>1</v>
      </c>
      <c r="D37" s="1">
        <v>45999</v>
      </c>
      <c r="E37" s="1">
        <v>45969</v>
      </c>
      <c r="F37">
        <v>30</v>
      </c>
    </row>
    <row r="38" spans="1:6" x14ac:dyDescent="0.3">
      <c r="A38" t="s">
        <v>539</v>
      </c>
      <c r="C38" t="b">
        <v>1</v>
      </c>
      <c r="D38" s="1">
        <v>45999</v>
      </c>
      <c r="E38" s="1">
        <v>45969</v>
      </c>
      <c r="F38">
        <v>30</v>
      </c>
    </row>
    <row r="39" spans="1:6" x14ac:dyDescent="0.3">
      <c r="A39" t="s">
        <v>539</v>
      </c>
      <c r="C39" t="b">
        <v>1</v>
      </c>
      <c r="D39" s="1">
        <v>45999</v>
      </c>
      <c r="E39" s="1">
        <v>45969</v>
      </c>
      <c r="F39">
        <v>30</v>
      </c>
    </row>
    <row r="40" spans="1:6" x14ac:dyDescent="0.3">
      <c r="A40" t="s">
        <v>539</v>
      </c>
      <c r="C40" t="b">
        <v>1</v>
      </c>
      <c r="D40" s="1">
        <v>45999</v>
      </c>
      <c r="E40" s="1">
        <v>45969</v>
      </c>
      <c r="F40">
        <v>30</v>
      </c>
    </row>
    <row r="41" spans="1:6" x14ac:dyDescent="0.3">
      <c r="A41" t="s">
        <v>539</v>
      </c>
      <c r="C41" t="b">
        <v>1</v>
      </c>
      <c r="D41" s="1">
        <v>45999</v>
      </c>
      <c r="E41" s="1">
        <v>45969</v>
      </c>
      <c r="F41">
        <v>30</v>
      </c>
    </row>
    <row r="42" spans="1:6" x14ac:dyDescent="0.3">
      <c r="A42" t="s">
        <v>539</v>
      </c>
      <c r="C42" t="b">
        <v>1</v>
      </c>
      <c r="D42" s="1">
        <v>45999</v>
      </c>
      <c r="E42" s="1">
        <v>45969</v>
      </c>
      <c r="F42">
        <v>30</v>
      </c>
    </row>
    <row r="43" spans="1:6" x14ac:dyDescent="0.3">
      <c r="A43" t="s">
        <v>539</v>
      </c>
      <c r="C43" t="b">
        <v>1</v>
      </c>
      <c r="D43" s="1">
        <v>45999</v>
      </c>
      <c r="E43" s="1">
        <v>45969</v>
      </c>
      <c r="F43">
        <v>30</v>
      </c>
    </row>
    <row r="44" spans="1:6" x14ac:dyDescent="0.3">
      <c r="A44" t="s">
        <v>539</v>
      </c>
      <c r="C44" t="b">
        <v>1</v>
      </c>
      <c r="D44" s="1">
        <v>45999</v>
      </c>
      <c r="E44" s="1">
        <v>45969</v>
      </c>
      <c r="F44">
        <v>30</v>
      </c>
    </row>
    <row r="45" spans="1:6" x14ac:dyDescent="0.3">
      <c r="A45" t="s">
        <v>539</v>
      </c>
      <c r="C45" t="b">
        <v>1</v>
      </c>
      <c r="D45" s="1">
        <v>45999</v>
      </c>
      <c r="E45" s="1">
        <v>45969</v>
      </c>
      <c r="F45">
        <v>30</v>
      </c>
    </row>
    <row r="46" spans="1:6" x14ac:dyDescent="0.3">
      <c r="A46" t="s">
        <v>539</v>
      </c>
      <c r="C46" t="b">
        <v>1</v>
      </c>
      <c r="D46" s="1">
        <v>45999</v>
      </c>
      <c r="E46" s="1">
        <v>45969</v>
      </c>
      <c r="F46">
        <v>30</v>
      </c>
    </row>
    <row r="47" spans="1:6" x14ac:dyDescent="0.3">
      <c r="A47" t="s">
        <v>539</v>
      </c>
      <c r="C47" t="b">
        <v>1</v>
      </c>
      <c r="D47" s="1">
        <v>45999</v>
      </c>
      <c r="E47" s="1">
        <v>45969</v>
      </c>
      <c r="F47">
        <v>30</v>
      </c>
    </row>
    <row r="48" spans="1:6" x14ac:dyDescent="0.3">
      <c r="A48" t="s">
        <v>539</v>
      </c>
      <c r="C48" t="b">
        <v>1</v>
      </c>
      <c r="D48" s="1">
        <v>45999</v>
      </c>
      <c r="E48" s="1">
        <v>45969</v>
      </c>
      <c r="F48">
        <v>30</v>
      </c>
    </row>
    <row r="49" spans="1:6" x14ac:dyDescent="0.3">
      <c r="A49" t="s">
        <v>539</v>
      </c>
      <c r="C49" t="b">
        <v>1</v>
      </c>
      <c r="D49" s="1">
        <v>45999</v>
      </c>
      <c r="E49" s="1">
        <v>45969</v>
      </c>
      <c r="F49">
        <v>30</v>
      </c>
    </row>
    <row r="50" spans="1:6" x14ac:dyDescent="0.3">
      <c r="A50" t="s">
        <v>539</v>
      </c>
      <c r="C50" t="b">
        <v>1</v>
      </c>
      <c r="D50" s="1">
        <v>45999</v>
      </c>
      <c r="E50" s="1">
        <v>45969</v>
      </c>
      <c r="F50">
        <v>30</v>
      </c>
    </row>
    <row r="51" spans="1:6" x14ac:dyDescent="0.3">
      <c r="A51" t="s">
        <v>539</v>
      </c>
      <c r="C51" t="b">
        <v>1</v>
      </c>
      <c r="D51" s="1">
        <v>45999</v>
      </c>
      <c r="E51" s="1">
        <v>45969</v>
      </c>
      <c r="F51">
        <v>30</v>
      </c>
    </row>
    <row r="52" spans="1:6" x14ac:dyDescent="0.3">
      <c r="A52" t="s">
        <v>539</v>
      </c>
      <c r="C52" t="b">
        <v>1</v>
      </c>
      <c r="D52" s="1">
        <v>45999</v>
      </c>
      <c r="E52" s="1">
        <v>45969</v>
      </c>
      <c r="F52">
        <v>30</v>
      </c>
    </row>
    <row r="53" spans="1:6" x14ac:dyDescent="0.3">
      <c r="A53" t="s">
        <v>539</v>
      </c>
      <c r="C53" t="b">
        <v>1</v>
      </c>
      <c r="D53" s="1">
        <v>45999</v>
      </c>
      <c r="E53" s="1">
        <v>45969</v>
      </c>
      <c r="F53">
        <v>30</v>
      </c>
    </row>
    <row r="54" spans="1:6" x14ac:dyDescent="0.3">
      <c r="A54" t="s">
        <v>539</v>
      </c>
      <c r="C54" t="b">
        <v>1</v>
      </c>
      <c r="D54" s="1">
        <v>45999</v>
      </c>
      <c r="E54" s="1">
        <v>45969</v>
      </c>
      <c r="F54">
        <v>30</v>
      </c>
    </row>
    <row r="55" spans="1:6" x14ac:dyDescent="0.3">
      <c r="A55" t="s">
        <v>539</v>
      </c>
      <c r="C55" t="b">
        <v>1</v>
      </c>
      <c r="D55" s="1">
        <v>45999</v>
      </c>
      <c r="E55" s="1">
        <v>45969</v>
      </c>
      <c r="F55">
        <v>30</v>
      </c>
    </row>
    <row r="56" spans="1:6" x14ac:dyDescent="0.3">
      <c r="A56" t="s">
        <v>539</v>
      </c>
      <c r="C56" t="b">
        <v>1</v>
      </c>
      <c r="D56" s="1">
        <v>45999</v>
      </c>
      <c r="E56" s="1">
        <v>45969</v>
      </c>
      <c r="F56">
        <v>30</v>
      </c>
    </row>
    <row r="57" spans="1:6" x14ac:dyDescent="0.3">
      <c r="A57" t="s">
        <v>539</v>
      </c>
      <c r="C57" t="b">
        <v>1</v>
      </c>
      <c r="D57" s="1">
        <v>45999</v>
      </c>
      <c r="E57" s="1">
        <v>45969</v>
      </c>
      <c r="F57">
        <v>30</v>
      </c>
    </row>
    <row r="58" spans="1:6" x14ac:dyDescent="0.3">
      <c r="A58" t="s">
        <v>539</v>
      </c>
      <c r="C58" t="b">
        <v>1</v>
      </c>
      <c r="D58" s="1">
        <v>45999</v>
      </c>
      <c r="E58" s="1">
        <v>45969</v>
      </c>
      <c r="F58">
        <v>30</v>
      </c>
    </row>
    <row r="59" spans="1:6" x14ac:dyDescent="0.3">
      <c r="A59" t="s">
        <v>539</v>
      </c>
      <c r="C59" t="b">
        <v>1</v>
      </c>
      <c r="D59" s="1">
        <v>45999</v>
      </c>
      <c r="E59" s="1">
        <v>45969</v>
      </c>
      <c r="F59">
        <v>30</v>
      </c>
    </row>
    <row r="60" spans="1:6" x14ac:dyDescent="0.3">
      <c r="A60" t="s">
        <v>539</v>
      </c>
      <c r="C60" t="b">
        <v>1</v>
      </c>
      <c r="D60" s="1">
        <v>45999</v>
      </c>
      <c r="E60" s="1">
        <v>45969</v>
      </c>
      <c r="F60">
        <v>30</v>
      </c>
    </row>
    <row r="61" spans="1:6" x14ac:dyDescent="0.3">
      <c r="A61" t="s">
        <v>539</v>
      </c>
      <c r="C61" t="b">
        <v>1</v>
      </c>
      <c r="D61" s="1">
        <v>45999</v>
      </c>
      <c r="E61" s="1">
        <v>45969</v>
      </c>
      <c r="F61">
        <v>30</v>
      </c>
    </row>
    <row r="62" spans="1:6" x14ac:dyDescent="0.3">
      <c r="A62" t="s">
        <v>539</v>
      </c>
      <c r="C62" t="b">
        <v>1</v>
      </c>
      <c r="D62" s="1">
        <v>45999</v>
      </c>
      <c r="E62" s="1">
        <v>45969</v>
      </c>
      <c r="F62">
        <v>30</v>
      </c>
    </row>
    <row r="63" spans="1:6" x14ac:dyDescent="0.3">
      <c r="A63" t="s">
        <v>539</v>
      </c>
      <c r="C63" t="b">
        <v>1</v>
      </c>
      <c r="D63" s="1">
        <v>45999</v>
      </c>
      <c r="E63" s="1">
        <v>45969</v>
      </c>
      <c r="F63">
        <v>30</v>
      </c>
    </row>
    <row r="64" spans="1:6" x14ac:dyDescent="0.3">
      <c r="A64" t="s">
        <v>539</v>
      </c>
      <c r="C64" t="b">
        <v>1</v>
      </c>
      <c r="D64" s="1">
        <v>45999</v>
      </c>
      <c r="E64" s="1">
        <v>45969</v>
      </c>
      <c r="F64">
        <v>30</v>
      </c>
    </row>
    <row r="65" spans="1:6" x14ac:dyDescent="0.3">
      <c r="A65" t="s">
        <v>539</v>
      </c>
      <c r="C65" t="b">
        <v>1</v>
      </c>
      <c r="D65" s="1">
        <v>45999</v>
      </c>
      <c r="E65" s="1">
        <v>45969</v>
      </c>
      <c r="F65">
        <v>30</v>
      </c>
    </row>
    <row r="66" spans="1:6" x14ac:dyDescent="0.3">
      <c r="A66" t="s">
        <v>539</v>
      </c>
      <c r="C66" t="b">
        <v>1</v>
      </c>
      <c r="D66" s="1">
        <v>45999</v>
      </c>
      <c r="E66" s="1">
        <v>45969</v>
      </c>
      <c r="F66">
        <v>30</v>
      </c>
    </row>
    <row r="67" spans="1:6" x14ac:dyDescent="0.3">
      <c r="A67" t="s">
        <v>539</v>
      </c>
      <c r="C67" t="b">
        <v>1</v>
      </c>
      <c r="D67" s="1">
        <v>45999</v>
      </c>
      <c r="E67" s="1">
        <v>45969</v>
      </c>
      <c r="F67">
        <v>30</v>
      </c>
    </row>
    <row r="68" spans="1:6" x14ac:dyDescent="0.3">
      <c r="A68" t="s">
        <v>539</v>
      </c>
      <c r="C68" t="b">
        <v>1</v>
      </c>
      <c r="D68" s="1">
        <v>45999</v>
      </c>
      <c r="E68" s="1">
        <v>45969</v>
      </c>
      <c r="F68">
        <v>30</v>
      </c>
    </row>
    <row r="69" spans="1:6" x14ac:dyDescent="0.3">
      <c r="A69" t="s">
        <v>539</v>
      </c>
      <c r="C69" t="b">
        <v>1</v>
      </c>
      <c r="D69" s="1">
        <v>45999</v>
      </c>
      <c r="E69" s="1">
        <v>45969</v>
      </c>
      <c r="F69">
        <v>30</v>
      </c>
    </row>
    <row r="70" spans="1:6" x14ac:dyDescent="0.3">
      <c r="A70" t="s">
        <v>539</v>
      </c>
      <c r="C70" t="b">
        <v>1</v>
      </c>
      <c r="D70" s="1">
        <v>45999</v>
      </c>
      <c r="E70" s="1">
        <v>45969</v>
      </c>
      <c r="F70">
        <v>30</v>
      </c>
    </row>
    <row r="71" spans="1:6" x14ac:dyDescent="0.3">
      <c r="A71" t="s">
        <v>539</v>
      </c>
      <c r="C71" t="b">
        <v>1</v>
      </c>
      <c r="D71" s="1">
        <v>45999</v>
      </c>
      <c r="E71" s="1">
        <v>45969</v>
      </c>
      <c r="F71">
        <v>30</v>
      </c>
    </row>
    <row r="72" spans="1:6" x14ac:dyDescent="0.3">
      <c r="A72" t="s">
        <v>539</v>
      </c>
      <c r="C72" t="b">
        <v>1</v>
      </c>
      <c r="D72" s="1">
        <v>45999</v>
      </c>
      <c r="E72" s="1">
        <v>45969</v>
      </c>
      <c r="F72">
        <v>30</v>
      </c>
    </row>
    <row r="73" spans="1:6" x14ac:dyDescent="0.3">
      <c r="A73" t="s">
        <v>539</v>
      </c>
      <c r="C73" t="b">
        <v>1</v>
      </c>
      <c r="D73" s="1">
        <v>45999</v>
      </c>
      <c r="E73" s="1">
        <v>45969</v>
      </c>
      <c r="F73">
        <v>30</v>
      </c>
    </row>
    <row r="74" spans="1:6" x14ac:dyDescent="0.3">
      <c r="A74" t="s">
        <v>539</v>
      </c>
      <c r="C74" t="b">
        <v>1</v>
      </c>
      <c r="D74" s="1">
        <v>45999</v>
      </c>
      <c r="E74" s="1">
        <v>45969</v>
      </c>
      <c r="F74">
        <v>30</v>
      </c>
    </row>
    <row r="75" spans="1:6" x14ac:dyDescent="0.3">
      <c r="A75" t="s">
        <v>539</v>
      </c>
      <c r="C75" t="b">
        <v>1</v>
      </c>
      <c r="D75" s="1">
        <v>45999</v>
      </c>
      <c r="E75" s="1">
        <v>45969</v>
      </c>
      <c r="F75">
        <v>30</v>
      </c>
    </row>
    <row r="76" spans="1:6" x14ac:dyDescent="0.3">
      <c r="A76" t="s">
        <v>539</v>
      </c>
      <c r="C76" t="b">
        <v>1</v>
      </c>
      <c r="D76" s="1">
        <v>45999</v>
      </c>
      <c r="E76" s="1">
        <v>45969</v>
      </c>
      <c r="F76">
        <v>30</v>
      </c>
    </row>
    <row r="77" spans="1:6" x14ac:dyDescent="0.3">
      <c r="A77" t="s">
        <v>539</v>
      </c>
      <c r="C77" t="b">
        <v>1</v>
      </c>
      <c r="D77" s="1">
        <v>45999</v>
      </c>
      <c r="E77" s="1">
        <v>45969</v>
      </c>
      <c r="F77">
        <v>30</v>
      </c>
    </row>
    <row r="78" spans="1:6" x14ac:dyDescent="0.3">
      <c r="A78" t="s">
        <v>539</v>
      </c>
      <c r="C78" t="b">
        <v>1</v>
      </c>
      <c r="D78" s="1">
        <v>45999</v>
      </c>
      <c r="E78" s="1">
        <v>45969</v>
      </c>
      <c r="F78">
        <v>30</v>
      </c>
    </row>
    <row r="79" spans="1:6" x14ac:dyDescent="0.3">
      <c r="A79" t="s">
        <v>539</v>
      </c>
      <c r="C79" t="b">
        <v>1</v>
      </c>
      <c r="D79" s="1">
        <v>45999</v>
      </c>
      <c r="E79" s="1">
        <v>45969</v>
      </c>
      <c r="F79">
        <v>30</v>
      </c>
    </row>
    <row r="80" spans="1:6" x14ac:dyDescent="0.3">
      <c r="A80" t="s">
        <v>539</v>
      </c>
      <c r="C80" t="b">
        <v>1</v>
      </c>
      <c r="D80" s="1">
        <v>45999</v>
      </c>
      <c r="E80" s="1">
        <v>45969</v>
      </c>
      <c r="F80">
        <v>30</v>
      </c>
    </row>
    <row r="81" spans="1:6" x14ac:dyDescent="0.3">
      <c r="A81" t="s">
        <v>539</v>
      </c>
      <c r="C81" t="b">
        <v>1</v>
      </c>
      <c r="D81" s="1">
        <v>45999</v>
      </c>
      <c r="E81" s="1">
        <v>45969</v>
      </c>
      <c r="F81">
        <v>30</v>
      </c>
    </row>
    <row r="82" spans="1:6" x14ac:dyDescent="0.3">
      <c r="A82" t="s">
        <v>539</v>
      </c>
      <c r="C82" t="b">
        <v>1</v>
      </c>
      <c r="D82" s="1">
        <v>45999</v>
      </c>
      <c r="E82" s="1">
        <v>45969</v>
      </c>
      <c r="F82">
        <v>30</v>
      </c>
    </row>
    <row r="83" spans="1:6" x14ac:dyDescent="0.3">
      <c r="A83" t="s">
        <v>539</v>
      </c>
      <c r="C83" t="b">
        <v>1</v>
      </c>
      <c r="D83" s="1">
        <v>45999</v>
      </c>
      <c r="E83" s="1">
        <v>45969</v>
      </c>
      <c r="F83">
        <v>30</v>
      </c>
    </row>
    <row r="84" spans="1:6" x14ac:dyDescent="0.3">
      <c r="A84" t="s">
        <v>539</v>
      </c>
      <c r="C84" t="b">
        <v>1</v>
      </c>
      <c r="D84" s="1">
        <v>45999</v>
      </c>
      <c r="E84" s="1">
        <v>45969</v>
      </c>
      <c r="F84">
        <v>30</v>
      </c>
    </row>
    <row r="85" spans="1:6" x14ac:dyDescent="0.3">
      <c r="A85" t="s">
        <v>539</v>
      </c>
      <c r="C85" t="b">
        <v>1</v>
      </c>
      <c r="D85" s="1">
        <v>45999</v>
      </c>
      <c r="E85" s="1">
        <v>45969</v>
      </c>
      <c r="F85">
        <v>30</v>
      </c>
    </row>
    <row r="86" spans="1:6" x14ac:dyDescent="0.3">
      <c r="A86" t="s">
        <v>539</v>
      </c>
      <c r="C86" t="b">
        <v>1</v>
      </c>
      <c r="D86" s="1">
        <v>45999</v>
      </c>
      <c r="E86" s="1">
        <v>45969</v>
      </c>
      <c r="F86">
        <v>30</v>
      </c>
    </row>
    <row r="87" spans="1:6" x14ac:dyDescent="0.3">
      <c r="A87" t="s">
        <v>539</v>
      </c>
      <c r="C87" t="b">
        <v>1</v>
      </c>
      <c r="D87" s="1">
        <v>45999</v>
      </c>
      <c r="E87" s="1">
        <v>45969</v>
      </c>
      <c r="F87">
        <v>30</v>
      </c>
    </row>
    <row r="88" spans="1:6" x14ac:dyDescent="0.3">
      <c r="A88" t="s">
        <v>539</v>
      </c>
      <c r="C88" t="b">
        <v>1</v>
      </c>
      <c r="D88" s="1">
        <v>45999</v>
      </c>
      <c r="E88" s="1">
        <v>45969</v>
      </c>
      <c r="F88">
        <v>30</v>
      </c>
    </row>
    <row r="89" spans="1:6" x14ac:dyDescent="0.3">
      <c r="A89" t="s">
        <v>539</v>
      </c>
      <c r="C89" t="b">
        <v>1</v>
      </c>
      <c r="D89" s="1">
        <v>45999</v>
      </c>
      <c r="E89" s="1">
        <v>45969</v>
      </c>
      <c r="F89">
        <v>30</v>
      </c>
    </row>
    <row r="90" spans="1:6" x14ac:dyDescent="0.3">
      <c r="A90" t="s">
        <v>539</v>
      </c>
      <c r="C90" t="b">
        <v>1</v>
      </c>
      <c r="D90" s="1">
        <v>45999</v>
      </c>
      <c r="E90" s="1">
        <v>45969</v>
      </c>
      <c r="F90">
        <v>30</v>
      </c>
    </row>
    <row r="91" spans="1:6" x14ac:dyDescent="0.3">
      <c r="A91" t="s">
        <v>539</v>
      </c>
      <c r="C91" t="b">
        <v>1</v>
      </c>
      <c r="D91" s="1">
        <v>45999</v>
      </c>
      <c r="E91" s="1">
        <v>45969</v>
      </c>
      <c r="F91">
        <v>30</v>
      </c>
    </row>
    <row r="92" spans="1:6" x14ac:dyDescent="0.3">
      <c r="A92" t="s">
        <v>539</v>
      </c>
      <c r="C92" t="b">
        <v>1</v>
      </c>
      <c r="D92" s="1">
        <v>45999</v>
      </c>
      <c r="E92" s="1">
        <v>45969</v>
      </c>
      <c r="F92">
        <v>30</v>
      </c>
    </row>
    <row r="93" spans="1:6" x14ac:dyDescent="0.3">
      <c r="A93" t="s">
        <v>539</v>
      </c>
      <c r="C93" t="b">
        <v>1</v>
      </c>
      <c r="D93" s="1">
        <v>45999</v>
      </c>
      <c r="E93" s="1">
        <v>45969</v>
      </c>
      <c r="F93">
        <v>30</v>
      </c>
    </row>
    <row r="94" spans="1:6" x14ac:dyDescent="0.3">
      <c r="A94" t="s">
        <v>539</v>
      </c>
      <c r="C94" t="b">
        <v>1</v>
      </c>
      <c r="D94" s="1">
        <v>45999</v>
      </c>
      <c r="E94" s="1">
        <v>45969</v>
      </c>
      <c r="F94">
        <v>30</v>
      </c>
    </row>
    <row r="95" spans="1:6" x14ac:dyDescent="0.3">
      <c r="A95" t="s">
        <v>539</v>
      </c>
      <c r="C95" t="b">
        <v>1</v>
      </c>
      <c r="D95" s="1">
        <v>45999</v>
      </c>
      <c r="E95" s="1">
        <v>45969</v>
      </c>
      <c r="F95">
        <v>30</v>
      </c>
    </row>
    <row r="96" spans="1:6" x14ac:dyDescent="0.3">
      <c r="A96" t="s">
        <v>539</v>
      </c>
      <c r="C96" t="b">
        <v>1</v>
      </c>
      <c r="D96" s="1">
        <v>45999</v>
      </c>
      <c r="E96" s="1">
        <v>45969</v>
      </c>
      <c r="F96">
        <v>30</v>
      </c>
    </row>
    <row r="97" spans="1:6" x14ac:dyDescent="0.3">
      <c r="A97" t="s">
        <v>539</v>
      </c>
      <c r="C97" t="b">
        <v>1</v>
      </c>
      <c r="D97" s="1">
        <v>45999</v>
      </c>
      <c r="E97" s="1">
        <v>45969</v>
      </c>
      <c r="F97">
        <v>30</v>
      </c>
    </row>
    <row r="98" spans="1:6" x14ac:dyDescent="0.3">
      <c r="A98" t="s">
        <v>539</v>
      </c>
      <c r="C98" t="b">
        <v>1</v>
      </c>
      <c r="D98" s="1">
        <v>45999</v>
      </c>
      <c r="E98" s="1">
        <v>45969</v>
      </c>
      <c r="F98">
        <v>30</v>
      </c>
    </row>
    <row r="99" spans="1:6" x14ac:dyDescent="0.3">
      <c r="A99" t="s">
        <v>539</v>
      </c>
      <c r="C99" t="b">
        <v>1</v>
      </c>
      <c r="D99" s="1">
        <v>45999</v>
      </c>
      <c r="E99" s="1">
        <v>45969</v>
      </c>
      <c r="F99">
        <v>30</v>
      </c>
    </row>
    <row r="100" spans="1:6" x14ac:dyDescent="0.3">
      <c r="A100" t="s">
        <v>539</v>
      </c>
      <c r="C100" t="b">
        <v>1</v>
      </c>
      <c r="D100" s="1">
        <v>45999</v>
      </c>
      <c r="E100" s="1">
        <v>45969</v>
      </c>
      <c r="F100">
        <v>30</v>
      </c>
    </row>
    <row r="101" spans="1:6" x14ac:dyDescent="0.3">
      <c r="A101" t="s">
        <v>539</v>
      </c>
      <c r="C101" t="b">
        <v>1</v>
      </c>
      <c r="D101" s="1">
        <v>45999</v>
      </c>
      <c r="E101" s="1">
        <v>45969</v>
      </c>
      <c r="F101">
        <v>30</v>
      </c>
    </row>
    <row r="102" spans="1:6" x14ac:dyDescent="0.3">
      <c r="A102" t="s">
        <v>539</v>
      </c>
      <c r="C102" t="b">
        <v>1</v>
      </c>
      <c r="D102" s="1">
        <v>45999</v>
      </c>
      <c r="E102" s="1">
        <v>45969</v>
      </c>
      <c r="F102">
        <v>30</v>
      </c>
    </row>
    <row r="103" spans="1:6" x14ac:dyDescent="0.3">
      <c r="A103" t="s">
        <v>539</v>
      </c>
      <c r="C103" t="b">
        <v>1</v>
      </c>
      <c r="D103" s="1">
        <v>45999</v>
      </c>
      <c r="E103" s="1">
        <v>45969</v>
      </c>
      <c r="F103">
        <v>30</v>
      </c>
    </row>
    <row r="104" spans="1:6" x14ac:dyDescent="0.3">
      <c r="A104" t="s">
        <v>539</v>
      </c>
      <c r="C104" t="b">
        <v>1</v>
      </c>
      <c r="D104" s="1">
        <v>45999</v>
      </c>
      <c r="E104" s="1">
        <v>45969</v>
      </c>
      <c r="F104">
        <v>30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1896-AC97-41B1-89E2-D45F5EB37ECB}">
  <sheetPr codeName="Лист10">
    <tabColor rgb="FFFFFF00"/>
  </sheetPr>
  <dimension ref="A1:F4"/>
  <sheetViews>
    <sheetView workbookViewId="0">
      <selection activeCell="I20" sqref="I20"/>
    </sheetView>
  </sheetViews>
  <sheetFormatPr defaultRowHeight="14.4" x14ac:dyDescent="0.3"/>
  <cols>
    <col min="1" max="1" width="8.21875" bestFit="1" customWidth="1"/>
    <col min="2" max="2" width="12.44140625" bestFit="1" customWidth="1"/>
    <col min="3" max="3" width="11.33203125" bestFit="1" customWidth="1"/>
    <col min="4" max="4" width="10.33203125" bestFit="1" customWidth="1"/>
    <col min="5" max="5" width="7.33203125" bestFit="1" customWidth="1"/>
    <col min="6" max="6" width="10.44140625" bestFit="1" customWidth="1"/>
    <col min="7" max="7" width="11" bestFit="1" customWidth="1"/>
    <col min="8" max="8" width="14.6640625" bestFit="1" customWidth="1"/>
    <col min="9" max="9" width="80.88671875" bestFit="1" customWidth="1"/>
    <col min="10" max="10" width="13.6640625" bestFit="1" customWidth="1"/>
    <col min="11" max="11" width="8.5546875" bestFit="1" customWidth="1"/>
    <col min="12" max="12" width="8.33203125" bestFit="1" customWidth="1"/>
    <col min="13" max="13" width="8" bestFit="1" customWidth="1"/>
    <col min="14" max="14" width="16.44140625" bestFit="1" customWidth="1"/>
    <col min="16" max="16" width="13.33203125" bestFit="1" customWidth="1"/>
    <col min="17" max="17" width="23.6640625" bestFit="1" customWidth="1"/>
    <col min="18" max="18" width="9.5546875" bestFit="1" customWidth="1"/>
    <col min="19" max="19" width="49.6640625" bestFit="1" customWidth="1"/>
    <col min="20" max="20" width="11.109375" bestFit="1" customWidth="1"/>
    <col min="21" max="21" width="8.109375" bestFit="1" customWidth="1"/>
    <col min="22" max="22" width="49.44140625" bestFit="1" customWidth="1"/>
    <col min="23" max="23" width="19.6640625" bestFit="1" customWidth="1"/>
    <col min="24" max="24" width="16.44140625" bestFit="1" customWidth="1"/>
  </cols>
  <sheetData>
    <row r="1" spans="1:6" x14ac:dyDescent="0.3">
      <c r="A1" t="s">
        <v>534</v>
      </c>
      <c r="B1" t="s">
        <v>486</v>
      </c>
      <c r="C1" t="s">
        <v>182</v>
      </c>
      <c r="D1" t="s">
        <v>540</v>
      </c>
      <c r="E1" t="s">
        <v>541</v>
      </c>
      <c r="F1" t="s">
        <v>542</v>
      </c>
    </row>
    <row r="2" spans="1:6" x14ac:dyDescent="0.3">
      <c r="A2" t="s">
        <v>543</v>
      </c>
      <c r="C2" t="s">
        <v>594</v>
      </c>
      <c r="D2" t="b">
        <v>1</v>
      </c>
    </row>
    <row r="3" spans="1:6" x14ac:dyDescent="0.3">
      <c r="A3" t="s">
        <v>543</v>
      </c>
      <c r="C3" t="s">
        <v>597</v>
      </c>
      <c r="D3" t="b">
        <v>1</v>
      </c>
    </row>
    <row r="4" spans="1:6" x14ac:dyDescent="0.3">
      <c r="A4" t="s">
        <v>543</v>
      </c>
      <c r="C4" t="s">
        <v>599</v>
      </c>
      <c r="D4" t="b">
        <v>1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607CB-A866-449B-8A07-A7F0ECDC0A59}">
  <sheetPr codeName="Лист4">
    <tabColor rgb="FFFFFF00"/>
  </sheetPr>
  <dimension ref="A1:F4"/>
  <sheetViews>
    <sheetView workbookViewId="0">
      <selection activeCell="B2" sqref="B2:B4"/>
    </sheetView>
  </sheetViews>
  <sheetFormatPr defaultRowHeight="14.4" x14ac:dyDescent="0.3"/>
  <cols>
    <col min="1" max="1" width="6" bestFit="1" customWidth="1"/>
    <col min="2" max="2" width="11" bestFit="1" customWidth="1"/>
    <col min="3" max="3" width="11.33203125" bestFit="1" customWidth="1"/>
    <col min="4" max="4" width="8.109375" bestFit="1" customWidth="1"/>
    <col min="5" max="5" width="5.109375" bestFit="1" customWidth="1"/>
    <col min="6" max="6" width="8.21875" bestFit="1" customWidth="1"/>
  </cols>
  <sheetData>
    <row r="1" spans="1:6" x14ac:dyDescent="0.3">
      <c r="A1" s="33" t="s">
        <v>534</v>
      </c>
      <c r="B1" s="33" t="s">
        <v>486</v>
      </c>
      <c r="C1" s="33" t="s">
        <v>182</v>
      </c>
      <c r="D1" s="33" t="s">
        <v>540</v>
      </c>
      <c r="E1" s="33" t="s">
        <v>541</v>
      </c>
      <c r="F1" s="33" t="s">
        <v>542</v>
      </c>
    </row>
    <row r="2" spans="1:6" x14ac:dyDescent="0.3">
      <c r="A2" t="s">
        <v>543</v>
      </c>
      <c r="C2" t="s">
        <v>594</v>
      </c>
      <c r="D2" t="b">
        <v>1</v>
      </c>
    </row>
    <row r="3" spans="1:6" x14ac:dyDescent="0.3">
      <c r="A3" t="s">
        <v>543</v>
      </c>
      <c r="C3" t="s">
        <v>597</v>
      </c>
      <c r="D3" t="b">
        <v>1</v>
      </c>
    </row>
    <row r="4" spans="1:6" x14ac:dyDescent="0.3">
      <c r="A4" t="s">
        <v>543</v>
      </c>
      <c r="C4" t="s">
        <v>599</v>
      </c>
      <c r="D4" t="b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3C2B8-4BC9-4DB8-A56D-0873EFC5AD54}">
  <sheetPr codeName="Лист5">
    <tabColor rgb="FFFFFF00"/>
  </sheetPr>
  <dimension ref="A1:F70"/>
  <sheetViews>
    <sheetView tabSelected="1" workbookViewId="0">
      <selection activeCell="F16" sqref="F16"/>
    </sheetView>
  </sheetViews>
  <sheetFormatPr defaultRowHeight="14.4" x14ac:dyDescent="0.3"/>
  <cols>
    <col min="1" max="1" width="8.21875" bestFit="1" customWidth="1"/>
    <col min="2" max="2" width="12.44140625" bestFit="1" customWidth="1"/>
    <col min="3" max="3" width="13.77734375" bestFit="1" customWidth="1"/>
    <col min="4" max="4" width="10.33203125" bestFit="1" customWidth="1"/>
    <col min="5" max="5" width="35.77734375" bestFit="1" customWidth="1"/>
    <col min="6" max="6" width="80.88671875" bestFit="1" customWidth="1"/>
  </cols>
  <sheetData>
    <row r="1" spans="1:6" x14ac:dyDescent="0.3">
      <c r="A1" t="s">
        <v>534</v>
      </c>
      <c r="B1" t="s">
        <v>486</v>
      </c>
      <c r="C1" t="s">
        <v>182</v>
      </c>
      <c r="D1" t="s">
        <v>540</v>
      </c>
      <c r="E1" t="s">
        <v>541</v>
      </c>
      <c r="F1" t="s">
        <v>542</v>
      </c>
    </row>
    <row r="2" spans="1:6" x14ac:dyDescent="0.3">
      <c r="A2" s="46" t="s">
        <v>543</v>
      </c>
      <c r="C2" t="s">
        <v>131</v>
      </c>
      <c r="D2" t="b">
        <v>1</v>
      </c>
    </row>
    <row r="3" spans="1:6" x14ac:dyDescent="0.3">
      <c r="A3" s="46" t="s">
        <v>543</v>
      </c>
      <c r="C3" t="s">
        <v>132</v>
      </c>
      <c r="D3" t="b">
        <v>1</v>
      </c>
    </row>
    <row r="4" spans="1:6" x14ac:dyDescent="0.3">
      <c r="A4" s="46" t="s">
        <v>543</v>
      </c>
      <c r="C4" t="s">
        <v>134</v>
      </c>
      <c r="D4" t="b">
        <v>0</v>
      </c>
      <c r="E4" t="s">
        <v>680</v>
      </c>
      <c r="F4" t="s">
        <v>681</v>
      </c>
    </row>
    <row r="5" spans="1:6" x14ac:dyDescent="0.3">
      <c r="A5" s="46" t="s">
        <v>543</v>
      </c>
      <c r="C5" t="s">
        <v>135</v>
      </c>
      <c r="D5" t="b">
        <v>0</v>
      </c>
      <c r="E5" t="s">
        <v>691</v>
      </c>
      <c r="F5" t="s">
        <v>692</v>
      </c>
    </row>
    <row r="6" spans="1:6" x14ac:dyDescent="0.3">
      <c r="A6" s="46" t="s">
        <v>543</v>
      </c>
      <c r="C6" t="s">
        <v>136</v>
      </c>
      <c r="D6" t="b">
        <v>0</v>
      </c>
      <c r="E6" t="s">
        <v>680</v>
      </c>
      <c r="F6" t="s">
        <v>681</v>
      </c>
    </row>
    <row r="7" spans="1:6" x14ac:dyDescent="0.3">
      <c r="A7" s="46" t="s">
        <v>543</v>
      </c>
      <c r="C7" t="s">
        <v>137</v>
      </c>
      <c r="D7" t="b">
        <v>0</v>
      </c>
      <c r="E7" t="s">
        <v>691</v>
      </c>
      <c r="F7" t="s">
        <v>692</v>
      </c>
    </row>
    <row r="8" spans="1:6" x14ac:dyDescent="0.3">
      <c r="A8" s="46" t="s">
        <v>543</v>
      </c>
      <c r="C8" t="s">
        <v>138</v>
      </c>
      <c r="D8" t="b">
        <v>0</v>
      </c>
      <c r="E8" t="s">
        <v>680</v>
      </c>
      <c r="F8" t="s">
        <v>681</v>
      </c>
    </row>
    <row r="9" spans="1:6" x14ac:dyDescent="0.3">
      <c r="A9" s="46" t="s">
        <v>543</v>
      </c>
      <c r="C9" t="s">
        <v>139</v>
      </c>
      <c r="D9" t="b">
        <v>0</v>
      </c>
      <c r="E9" t="s">
        <v>680</v>
      </c>
      <c r="F9" t="s">
        <v>681</v>
      </c>
    </row>
    <row r="10" spans="1:6" x14ac:dyDescent="0.3">
      <c r="A10" s="46" t="s">
        <v>543</v>
      </c>
      <c r="C10" t="s">
        <v>140</v>
      </c>
      <c r="D10" t="b">
        <v>0</v>
      </c>
      <c r="E10" t="s">
        <v>680</v>
      </c>
      <c r="F10" t="s">
        <v>681</v>
      </c>
    </row>
    <row r="11" spans="1:6" x14ac:dyDescent="0.3">
      <c r="A11" s="46" t="s">
        <v>543</v>
      </c>
      <c r="C11" t="s">
        <v>141</v>
      </c>
      <c r="D11" t="b">
        <v>0</v>
      </c>
      <c r="E11" t="s">
        <v>691</v>
      </c>
      <c r="F11" t="s">
        <v>692</v>
      </c>
    </row>
    <row r="12" spans="1:6" x14ac:dyDescent="0.3">
      <c r="A12" s="46" t="s">
        <v>543</v>
      </c>
      <c r="C12" t="s">
        <v>142</v>
      </c>
      <c r="D12" t="b">
        <v>0</v>
      </c>
      <c r="E12" t="s">
        <v>691</v>
      </c>
      <c r="F12" t="s">
        <v>692</v>
      </c>
    </row>
    <row r="13" spans="1:6" x14ac:dyDescent="0.3">
      <c r="A13" s="46" t="s">
        <v>543</v>
      </c>
      <c r="C13" t="s">
        <v>143</v>
      </c>
      <c r="D13" t="b">
        <v>0</v>
      </c>
      <c r="E13" t="s">
        <v>680</v>
      </c>
      <c r="F13" t="s">
        <v>681</v>
      </c>
    </row>
    <row r="14" spans="1:6" x14ac:dyDescent="0.3">
      <c r="A14" s="46" t="s">
        <v>543</v>
      </c>
      <c r="C14" t="s">
        <v>144</v>
      </c>
      <c r="D14" t="b">
        <v>0</v>
      </c>
      <c r="E14" t="s">
        <v>680</v>
      </c>
      <c r="F14" t="s">
        <v>681</v>
      </c>
    </row>
    <row r="15" spans="1:6" x14ac:dyDescent="0.3">
      <c r="A15" s="46" t="s">
        <v>543</v>
      </c>
      <c r="C15" t="s">
        <v>145</v>
      </c>
      <c r="D15" t="b">
        <v>0</v>
      </c>
      <c r="E15" t="s">
        <v>680</v>
      </c>
      <c r="F15" t="s">
        <v>681</v>
      </c>
    </row>
    <row r="16" spans="1:6" x14ac:dyDescent="0.3">
      <c r="A16" s="46" t="s">
        <v>543</v>
      </c>
      <c r="C16" t="s">
        <v>146</v>
      </c>
      <c r="D16" t="b">
        <v>0</v>
      </c>
      <c r="E16" t="s">
        <v>680</v>
      </c>
      <c r="F16" t="s">
        <v>681</v>
      </c>
    </row>
    <row r="17" spans="1:6" x14ac:dyDescent="0.3">
      <c r="A17" s="46" t="s">
        <v>543</v>
      </c>
      <c r="C17" t="s">
        <v>147</v>
      </c>
      <c r="D17" t="b">
        <v>0</v>
      </c>
      <c r="E17" t="s">
        <v>680</v>
      </c>
      <c r="F17" t="s">
        <v>681</v>
      </c>
    </row>
    <row r="18" spans="1:6" x14ac:dyDescent="0.3">
      <c r="A18" s="46" t="s">
        <v>543</v>
      </c>
      <c r="C18" t="s">
        <v>148</v>
      </c>
      <c r="D18" t="b">
        <v>0</v>
      </c>
      <c r="E18" t="s">
        <v>680</v>
      </c>
      <c r="F18" t="s">
        <v>681</v>
      </c>
    </row>
    <row r="19" spans="1:6" x14ac:dyDescent="0.3">
      <c r="A19" s="46" t="s">
        <v>543</v>
      </c>
      <c r="C19" t="s">
        <v>149</v>
      </c>
      <c r="D19" t="b">
        <v>0</v>
      </c>
      <c r="E19" t="s">
        <v>680</v>
      </c>
      <c r="F19" t="s">
        <v>681</v>
      </c>
    </row>
    <row r="20" spans="1:6" x14ac:dyDescent="0.3">
      <c r="A20" s="46" t="s">
        <v>543</v>
      </c>
      <c r="C20" t="s">
        <v>150</v>
      </c>
      <c r="D20" t="b">
        <v>0</v>
      </c>
      <c r="E20" t="s">
        <v>680</v>
      </c>
      <c r="F20" t="s">
        <v>681</v>
      </c>
    </row>
    <row r="21" spans="1:6" x14ac:dyDescent="0.3">
      <c r="A21" s="46" t="s">
        <v>543</v>
      </c>
      <c r="C21" t="s">
        <v>151</v>
      </c>
      <c r="D21" t="b">
        <v>0</v>
      </c>
      <c r="E21" t="s">
        <v>680</v>
      </c>
      <c r="F21" t="s">
        <v>681</v>
      </c>
    </row>
    <row r="22" spans="1:6" x14ac:dyDescent="0.3">
      <c r="A22" s="46" t="s">
        <v>543</v>
      </c>
      <c r="C22" t="s">
        <v>152</v>
      </c>
      <c r="D22" t="b">
        <v>0</v>
      </c>
      <c r="E22" t="s">
        <v>680</v>
      </c>
      <c r="F22" t="s">
        <v>681</v>
      </c>
    </row>
    <row r="23" spans="1:6" x14ac:dyDescent="0.3">
      <c r="A23" s="46" t="s">
        <v>543</v>
      </c>
      <c r="C23" t="s">
        <v>153</v>
      </c>
      <c r="D23" t="b">
        <v>0</v>
      </c>
      <c r="E23" t="s">
        <v>680</v>
      </c>
      <c r="F23" t="s">
        <v>681</v>
      </c>
    </row>
    <row r="24" spans="1:6" x14ac:dyDescent="0.3">
      <c r="A24" s="46" t="s">
        <v>543</v>
      </c>
      <c r="C24" t="s">
        <v>154</v>
      </c>
      <c r="D24" t="b">
        <v>0</v>
      </c>
      <c r="E24" t="s">
        <v>680</v>
      </c>
      <c r="F24" t="s">
        <v>681</v>
      </c>
    </row>
    <row r="25" spans="1:6" x14ac:dyDescent="0.3">
      <c r="A25" s="46" t="s">
        <v>543</v>
      </c>
      <c r="C25" t="s">
        <v>155</v>
      </c>
      <c r="D25" t="b">
        <v>0</v>
      </c>
      <c r="E25" t="s">
        <v>680</v>
      </c>
      <c r="F25" t="s">
        <v>681</v>
      </c>
    </row>
    <row r="26" spans="1:6" x14ac:dyDescent="0.3">
      <c r="A26" s="46" t="s">
        <v>543</v>
      </c>
      <c r="C26" t="s">
        <v>156</v>
      </c>
      <c r="D26" t="b">
        <v>0</v>
      </c>
      <c r="E26" t="s">
        <v>680</v>
      </c>
      <c r="F26" t="s">
        <v>681</v>
      </c>
    </row>
    <row r="27" spans="1:6" x14ac:dyDescent="0.3">
      <c r="A27" s="46" t="s">
        <v>543</v>
      </c>
      <c r="C27" t="s">
        <v>157</v>
      </c>
      <c r="D27" t="b">
        <v>0</v>
      </c>
      <c r="E27" t="s">
        <v>680</v>
      </c>
      <c r="F27" t="s">
        <v>681</v>
      </c>
    </row>
    <row r="28" spans="1:6" x14ac:dyDescent="0.3">
      <c r="A28" s="46" t="s">
        <v>543</v>
      </c>
      <c r="C28" t="s">
        <v>158</v>
      </c>
      <c r="D28" t="b">
        <v>0</v>
      </c>
      <c r="E28" t="s">
        <v>680</v>
      </c>
      <c r="F28" t="s">
        <v>681</v>
      </c>
    </row>
    <row r="29" spans="1:6" x14ac:dyDescent="0.3">
      <c r="A29" s="46" t="s">
        <v>543</v>
      </c>
      <c r="C29" t="s">
        <v>159</v>
      </c>
      <c r="D29" t="b">
        <v>0</v>
      </c>
      <c r="E29" t="s">
        <v>680</v>
      </c>
      <c r="F29" t="s">
        <v>681</v>
      </c>
    </row>
    <row r="30" spans="1:6" x14ac:dyDescent="0.3">
      <c r="A30" s="46" t="s">
        <v>543</v>
      </c>
      <c r="C30" t="s">
        <v>160</v>
      </c>
      <c r="D30" t="b">
        <v>0</v>
      </c>
      <c r="E30" t="s">
        <v>680</v>
      </c>
      <c r="F30" t="s">
        <v>681</v>
      </c>
    </row>
    <row r="31" spans="1:6" x14ac:dyDescent="0.3">
      <c r="A31" s="46" t="s">
        <v>543</v>
      </c>
      <c r="C31" t="s">
        <v>161</v>
      </c>
      <c r="D31" t="b">
        <v>1</v>
      </c>
    </row>
    <row r="32" spans="1:6" x14ac:dyDescent="0.3">
      <c r="A32" s="46" t="s">
        <v>543</v>
      </c>
      <c r="C32" t="s">
        <v>162</v>
      </c>
      <c r="D32" t="b">
        <v>1</v>
      </c>
    </row>
    <row r="33" spans="1:6" x14ac:dyDescent="0.3">
      <c r="A33" s="46" t="s">
        <v>543</v>
      </c>
      <c r="C33" t="s">
        <v>163</v>
      </c>
      <c r="D33" t="b">
        <v>1</v>
      </c>
    </row>
    <row r="34" spans="1:6" x14ac:dyDescent="0.3">
      <c r="A34" s="46" t="s">
        <v>543</v>
      </c>
      <c r="C34" t="s">
        <v>594</v>
      </c>
      <c r="D34" t="b">
        <v>0</v>
      </c>
      <c r="E34" t="s">
        <v>680</v>
      </c>
      <c r="F34" t="s">
        <v>681</v>
      </c>
    </row>
    <row r="35" spans="1:6" x14ac:dyDescent="0.3">
      <c r="A35" s="46" t="s">
        <v>543</v>
      </c>
      <c r="C35" t="s">
        <v>597</v>
      </c>
      <c r="D35" t="b">
        <v>0</v>
      </c>
      <c r="E35" t="s">
        <v>680</v>
      </c>
      <c r="F35" t="s">
        <v>681</v>
      </c>
    </row>
    <row r="36" spans="1:6" x14ac:dyDescent="0.3">
      <c r="A36" s="46" t="s">
        <v>543</v>
      </c>
      <c r="C36" t="s">
        <v>599</v>
      </c>
      <c r="D36" t="b">
        <v>0</v>
      </c>
      <c r="E36" t="s">
        <v>680</v>
      </c>
      <c r="F36" t="s">
        <v>681</v>
      </c>
    </row>
    <row r="37" spans="1:6" x14ac:dyDescent="0.3">
      <c r="A37" s="46" t="s">
        <v>543</v>
      </c>
      <c r="C37" t="s">
        <v>164</v>
      </c>
      <c r="D37" t="b">
        <v>0</v>
      </c>
      <c r="E37" t="s">
        <v>680</v>
      </c>
      <c r="F37" t="s">
        <v>681</v>
      </c>
    </row>
    <row r="38" spans="1:6" x14ac:dyDescent="0.3">
      <c r="A38" s="46" t="s">
        <v>543</v>
      </c>
      <c r="C38" t="s">
        <v>165</v>
      </c>
      <c r="D38" t="b">
        <v>0</v>
      </c>
      <c r="E38" t="s">
        <v>680</v>
      </c>
      <c r="F38" t="s">
        <v>681</v>
      </c>
    </row>
    <row r="39" spans="1:6" x14ac:dyDescent="0.3">
      <c r="A39" s="46" t="s">
        <v>543</v>
      </c>
      <c r="C39" t="s">
        <v>166</v>
      </c>
      <c r="D39" t="b">
        <v>0</v>
      </c>
      <c r="E39" t="s">
        <v>680</v>
      </c>
      <c r="F39" t="s">
        <v>681</v>
      </c>
    </row>
    <row r="40" spans="1:6" x14ac:dyDescent="0.3">
      <c r="A40" s="46" t="s">
        <v>543</v>
      </c>
      <c r="C40" t="s">
        <v>167</v>
      </c>
      <c r="D40" t="b">
        <v>0</v>
      </c>
      <c r="E40" t="s">
        <v>680</v>
      </c>
      <c r="F40" t="s">
        <v>681</v>
      </c>
    </row>
    <row r="41" spans="1:6" x14ac:dyDescent="0.3">
      <c r="A41" s="46" t="s">
        <v>543</v>
      </c>
      <c r="C41" t="s">
        <v>168</v>
      </c>
      <c r="D41" t="b">
        <v>0</v>
      </c>
      <c r="E41" t="s">
        <v>680</v>
      </c>
      <c r="F41" t="s">
        <v>681</v>
      </c>
    </row>
    <row r="42" spans="1:6" x14ac:dyDescent="0.3">
      <c r="A42" s="46" t="s">
        <v>543</v>
      </c>
      <c r="C42" t="s">
        <v>169</v>
      </c>
      <c r="D42" t="b">
        <v>0</v>
      </c>
      <c r="E42" t="s">
        <v>680</v>
      </c>
      <c r="F42" t="s">
        <v>681</v>
      </c>
    </row>
    <row r="43" spans="1:6" x14ac:dyDescent="0.3">
      <c r="A43" s="46" t="s">
        <v>543</v>
      </c>
      <c r="C43" t="s">
        <v>170</v>
      </c>
      <c r="D43" t="b">
        <v>0</v>
      </c>
      <c r="E43" t="s">
        <v>680</v>
      </c>
      <c r="F43" t="s">
        <v>681</v>
      </c>
    </row>
    <row r="44" spans="1:6" x14ac:dyDescent="0.3">
      <c r="A44" s="46" t="s">
        <v>543</v>
      </c>
      <c r="C44" t="s">
        <v>171</v>
      </c>
      <c r="D44" t="b">
        <v>0</v>
      </c>
      <c r="E44" t="s">
        <v>680</v>
      </c>
      <c r="F44" t="s">
        <v>681</v>
      </c>
    </row>
    <row r="45" spans="1:6" x14ac:dyDescent="0.3">
      <c r="A45" s="46" t="s">
        <v>543</v>
      </c>
      <c r="C45" t="s">
        <v>172</v>
      </c>
      <c r="D45" t="b">
        <v>0</v>
      </c>
      <c r="E45" t="s">
        <v>680</v>
      </c>
      <c r="F45" t="s">
        <v>681</v>
      </c>
    </row>
    <row r="46" spans="1:6" x14ac:dyDescent="0.3">
      <c r="A46" s="46" t="s">
        <v>543</v>
      </c>
      <c r="C46" t="s">
        <v>173</v>
      </c>
      <c r="D46" t="b">
        <v>0</v>
      </c>
      <c r="E46" t="s">
        <v>680</v>
      </c>
      <c r="F46" t="s">
        <v>681</v>
      </c>
    </row>
    <row r="47" spans="1:6" x14ac:dyDescent="0.3">
      <c r="A47" s="46" t="s">
        <v>543</v>
      </c>
      <c r="C47" t="s">
        <v>174</v>
      </c>
      <c r="D47" t="b">
        <v>0</v>
      </c>
      <c r="E47" t="s">
        <v>680</v>
      </c>
      <c r="F47" t="s">
        <v>681</v>
      </c>
    </row>
    <row r="48" spans="1:6" x14ac:dyDescent="0.3">
      <c r="A48" s="46" t="s">
        <v>543</v>
      </c>
      <c r="C48" t="s">
        <v>175</v>
      </c>
      <c r="D48" t="b">
        <v>0</v>
      </c>
      <c r="E48" t="s">
        <v>691</v>
      </c>
      <c r="F48" t="s">
        <v>692</v>
      </c>
    </row>
    <row r="49" spans="1:6" x14ac:dyDescent="0.3">
      <c r="A49" s="46" t="s">
        <v>543</v>
      </c>
      <c r="C49" t="s">
        <v>176</v>
      </c>
      <c r="D49" t="b">
        <v>0</v>
      </c>
      <c r="E49" t="s">
        <v>680</v>
      </c>
      <c r="F49" t="s">
        <v>681</v>
      </c>
    </row>
    <row r="50" spans="1:6" x14ac:dyDescent="0.3">
      <c r="A50" s="46" t="s">
        <v>543</v>
      </c>
      <c r="C50" t="s">
        <v>178</v>
      </c>
      <c r="D50" t="b">
        <v>0</v>
      </c>
      <c r="E50" t="s">
        <v>680</v>
      </c>
      <c r="F50" t="s">
        <v>681</v>
      </c>
    </row>
    <row r="51" spans="1:6" x14ac:dyDescent="0.3">
      <c r="A51" s="46" t="s">
        <v>543</v>
      </c>
      <c r="C51" t="s">
        <v>179</v>
      </c>
      <c r="D51" t="b">
        <v>1</v>
      </c>
    </row>
    <row r="52" spans="1:6" x14ac:dyDescent="0.3">
      <c r="A52" s="46" t="s">
        <v>543</v>
      </c>
      <c r="C52" t="s">
        <v>359</v>
      </c>
      <c r="D52" t="b">
        <v>0</v>
      </c>
      <c r="E52" t="s">
        <v>680</v>
      </c>
      <c r="F52" t="s">
        <v>681</v>
      </c>
    </row>
    <row r="53" spans="1:6" x14ac:dyDescent="0.3">
      <c r="A53" s="46" t="s">
        <v>543</v>
      </c>
      <c r="C53" t="s">
        <v>368</v>
      </c>
      <c r="D53" t="b">
        <v>1</v>
      </c>
    </row>
    <row r="54" spans="1:6" x14ac:dyDescent="0.3">
      <c r="A54" s="46" t="s">
        <v>543</v>
      </c>
      <c r="C54" t="s">
        <v>370</v>
      </c>
      <c r="D54" t="b">
        <v>0</v>
      </c>
      <c r="E54" t="s">
        <v>680</v>
      </c>
      <c r="F54" t="s">
        <v>681</v>
      </c>
    </row>
    <row r="55" spans="1:6" x14ac:dyDescent="0.3">
      <c r="A55" s="46" t="s">
        <v>543</v>
      </c>
      <c r="C55" t="s">
        <v>373</v>
      </c>
      <c r="D55" t="b">
        <v>1</v>
      </c>
    </row>
    <row r="56" spans="1:6" x14ac:dyDescent="0.3">
      <c r="A56" s="46" t="s">
        <v>543</v>
      </c>
      <c r="C56" t="s">
        <v>377</v>
      </c>
      <c r="D56" t="b">
        <v>1</v>
      </c>
    </row>
    <row r="57" spans="1:6" x14ac:dyDescent="0.3">
      <c r="A57" s="46" t="s">
        <v>543</v>
      </c>
      <c r="C57" t="s">
        <v>379</v>
      </c>
      <c r="D57" t="b">
        <v>1</v>
      </c>
    </row>
    <row r="58" spans="1:6" x14ac:dyDescent="0.3">
      <c r="A58" s="46" t="s">
        <v>543</v>
      </c>
      <c r="C58" t="s">
        <v>381</v>
      </c>
      <c r="D58" t="b">
        <v>1</v>
      </c>
    </row>
    <row r="59" spans="1:6" x14ac:dyDescent="0.3">
      <c r="A59" s="46" t="s">
        <v>543</v>
      </c>
      <c r="C59" t="s">
        <v>384</v>
      </c>
      <c r="D59" t="b">
        <v>1</v>
      </c>
    </row>
    <row r="60" spans="1:6" x14ac:dyDescent="0.3">
      <c r="A60" s="46" t="s">
        <v>543</v>
      </c>
      <c r="C60" t="s">
        <v>385</v>
      </c>
      <c r="D60" t="b">
        <v>1</v>
      </c>
    </row>
    <row r="61" spans="1:6" x14ac:dyDescent="0.3">
      <c r="A61" s="46" t="s">
        <v>543</v>
      </c>
      <c r="C61" t="s">
        <v>386</v>
      </c>
      <c r="D61" t="b">
        <v>1</v>
      </c>
    </row>
    <row r="62" spans="1:6" x14ac:dyDescent="0.3">
      <c r="A62" s="46" t="s">
        <v>543</v>
      </c>
      <c r="C62" t="s">
        <v>569</v>
      </c>
      <c r="D62" t="b">
        <v>0</v>
      </c>
      <c r="E62" t="s">
        <v>680</v>
      </c>
      <c r="F62" t="s">
        <v>681</v>
      </c>
    </row>
    <row r="63" spans="1:6" x14ac:dyDescent="0.3">
      <c r="A63" s="46" t="s">
        <v>543</v>
      </c>
      <c r="C63" t="s">
        <v>572</v>
      </c>
      <c r="D63" t="b">
        <v>0</v>
      </c>
      <c r="E63" t="s">
        <v>680</v>
      </c>
      <c r="F63" t="s">
        <v>681</v>
      </c>
    </row>
    <row r="64" spans="1:6" x14ac:dyDescent="0.3">
      <c r="A64" s="46" t="s">
        <v>543</v>
      </c>
      <c r="C64" t="s">
        <v>568</v>
      </c>
      <c r="D64" t="b">
        <v>0</v>
      </c>
      <c r="E64" t="s">
        <v>680</v>
      </c>
      <c r="F64" t="s">
        <v>681</v>
      </c>
    </row>
    <row r="65" spans="1:6" x14ac:dyDescent="0.3">
      <c r="A65" s="46" t="s">
        <v>543</v>
      </c>
      <c r="C65" t="s">
        <v>577</v>
      </c>
      <c r="D65" t="b">
        <v>0</v>
      </c>
      <c r="E65" t="s">
        <v>680</v>
      </c>
      <c r="F65" t="s">
        <v>681</v>
      </c>
    </row>
    <row r="66" spans="1:6" x14ac:dyDescent="0.3">
      <c r="A66" s="46" t="s">
        <v>543</v>
      </c>
      <c r="C66" t="s">
        <v>581</v>
      </c>
      <c r="D66" t="b">
        <v>0</v>
      </c>
      <c r="E66" t="s">
        <v>680</v>
      </c>
      <c r="F66" t="s">
        <v>681</v>
      </c>
    </row>
    <row r="67" spans="1:6" x14ac:dyDescent="0.3">
      <c r="A67" s="46" t="s">
        <v>543</v>
      </c>
      <c r="C67" t="s">
        <v>586</v>
      </c>
      <c r="D67" t="b">
        <v>1</v>
      </c>
    </row>
    <row r="68" spans="1:6" x14ac:dyDescent="0.3">
      <c r="A68" s="46" t="s">
        <v>543</v>
      </c>
      <c r="C68" t="s">
        <v>603</v>
      </c>
      <c r="D68" t="b">
        <v>0</v>
      </c>
      <c r="E68" t="s">
        <v>680</v>
      </c>
      <c r="F68" t="s">
        <v>681</v>
      </c>
    </row>
    <row r="69" spans="1:6" x14ac:dyDescent="0.3">
      <c r="A69" s="46" t="s">
        <v>543</v>
      </c>
      <c r="C69" t="s">
        <v>590</v>
      </c>
      <c r="D69" t="b">
        <v>0</v>
      </c>
      <c r="E69" t="s">
        <v>680</v>
      </c>
      <c r="F69" t="s">
        <v>681</v>
      </c>
    </row>
    <row r="70" spans="1:6" x14ac:dyDescent="0.3">
      <c r="A70" s="46" t="s">
        <v>543</v>
      </c>
      <c r="C70" t="s">
        <v>592</v>
      </c>
      <c r="D70" t="b">
        <v>0</v>
      </c>
      <c r="E70" t="s">
        <v>680</v>
      </c>
      <c r="F70" t="s">
        <v>681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429DC-B58F-43BB-9A17-599D5A39DDB5}">
  <sheetPr codeName="Лист11">
    <tabColor rgb="FFFFFF00"/>
  </sheetPr>
  <dimension ref="A1:B104"/>
  <sheetViews>
    <sheetView workbookViewId="0">
      <selection activeCell="T32" sqref="T32"/>
    </sheetView>
  </sheetViews>
  <sheetFormatPr defaultRowHeight="14.4" x14ac:dyDescent="0.3"/>
  <cols>
    <col min="1" max="1" width="11" bestFit="1" customWidth="1"/>
    <col min="2" max="2" width="13.77734375" bestFit="1" customWidth="1"/>
  </cols>
  <sheetData>
    <row r="1" spans="1:2" x14ac:dyDescent="0.3">
      <c r="A1" t="s">
        <v>130</v>
      </c>
      <c r="B1" t="s">
        <v>0</v>
      </c>
    </row>
    <row r="2" spans="1:2" x14ac:dyDescent="0.3">
      <c r="A2">
        <v>843059457</v>
      </c>
      <c r="B2" t="s">
        <v>131</v>
      </c>
    </row>
    <row r="3" spans="1:2" x14ac:dyDescent="0.3">
      <c r="A3">
        <v>843059458</v>
      </c>
      <c r="B3" t="s">
        <v>132</v>
      </c>
    </row>
    <row r="4" spans="1:2" x14ac:dyDescent="0.3">
      <c r="A4">
        <v>988666365</v>
      </c>
      <c r="B4" t="s">
        <v>134</v>
      </c>
    </row>
    <row r="5" spans="1:2" x14ac:dyDescent="0.3">
      <c r="A5">
        <v>988740676</v>
      </c>
      <c r="B5" t="s">
        <v>135</v>
      </c>
    </row>
    <row r="6" spans="1:2" x14ac:dyDescent="0.3">
      <c r="A6">
        <v>1069382809</v>
      </c>
      <c r="B6" t="s">
        <v>136</v>
      </c>
    </row>
    <row r="7" spans="1:2" x14ac:dyDescent="0.3">
      <c r="A7">
        <v>1069389628</v>
      </c>
      <c r="B7" t="s">
        <v>137</v>
      </c>
    </row>
    <row r="8" spans="1:2" x14ac:dyDescent="0.3">
      <c r="A8">
        <v>1069390113</v>
      </c>
      <c r="B8" t="s">
        <v>138</v>
      </c>
    </row>
    <row r="9" spans="1:2" x14ac:dyDescent="0.3">
      <c r="A9">
        <v>1122297895</v>
      </c>
      <c r="B9" t="s">
        <v>139</v>
      </c>
    </row>
    <row r="10" spans="1:2" x14ac:dyDescent="0.3">
      <c r="A10">
        <v>1122299195</v>
      </c>
      <c r="B10" t="s">
        <v>140</v>
      </c>
    </row>
    <row r="11" spans="1:2" x14ac:dyDescent="0.3">
      <c r="A11">
        <v>1380763908</v>
      </c>
      <c r="B11" t="s">
        <v>141</v>
      </c>
    </row>
    <row r="12" spans="1:2" x14ac:dyDescent="0.3">
      <c r="A12">
        <v>1380766795</v>
      </c>
      <c r="B12" t="s">
        <v>142</v>
      </c>
    </row>
    <row r="13" spans="1:2" x14ac:dyDescent="0.3">
      <c r="A13">
        <v>1451549617</v>
      </c>
      <c r="B13" t="s">
        <v>143</v>
      </c>
    </row>
    <row r="14" spans="1:2" x14ac:dyDescent="0.3">
      <c r="A14">
        <v>1451559823</v>
      </c>
      <c r="B14" t="s">
        <v>144</v>
      </c>
    </row>
    <row r="15" spans="1:2" x14ac:dyDescent="0.3">
      <c r="A15">
        <v>1451564316</v>
      </c>
      <c r="B15" t="s">
        <v>145</v>
      </c>
    </row>
    <row r="16" spans="1:2" x14ac:dyDescent="0.3">
      <c r="A16">
        <v>1451569363</v>
      </c>
      <c r="B16" t="s">
        <v>146</v>
      </c>
    </row>
    <row r="17" spans="1:2" x14ac:dyDescent="0.3">
      <c r="A17">
        <v>1451573043</v>
      </c>
      <c r="B17" t="s">
        <v>147</v>
      </c>
    </row>
    <row r="18" spans="1:2" x14ac:dyDescent="0.3">
      <c r="A18">
        <v>1451575884</v>
      </c>
      <c r="B18" t="s">
        <v>148</v>
      </c>
    </row>
    <row r="19" spans="1:2" x14ac:dyDescent="0.3">
      <c r="A19">
        <v>1451579904</v>
      </c>
      <c r="B19" t="s">
        <v>149</v>
      </c>
    </row>
    <row r="20" spans="1:2" x14ac:dyDescent="0.3">
      <c r="A20">
        <v>1451582042</v>
      </c>
      <c r="B20" t="s">
        <v>150</v>
      </c>
    </row>
    <row r="21" spans="1:2" x14ac:dyDescent="0.3">
      <c r="A21">
        <v>1451585782</v>
      </c>
      <c r="B21" t="s">
        <v>151</v>
      </c>
    </row>
    <row r="22" spans="1:2" x14ac:dyDescent="0.3">
      <c r="A22">
        <v>1451590136</v>
      </c>
      <c r="B22" t="s">
        <v>152</v>
      </c>
    </row>
    <row r="23" spans="1:2" x14ac:dyDescent="0.3">
      <c r="A23">
        <v>1451606246</v>
      </c>
      <c r="B23" t="s">
        <v>153</v>
      </c>
    </row>
    <row r="24" spans="1:2" x14ac:dyDescent="0.3">
      <c r="A24">
        <v>1451620686</v>
      </c>
      <c r="B24" t="s">
        <v>154</v>
      </c>
    </row>
    <row r="25" spans="1:2" x14ac:dyDescent="0.3">
      <c r="A25">
        <v>1451636017</v>
      </c>
      <c r="B25" t="s">
        <v>155</v>
      </c>
    </row>
    <row r="26" spans="1:2" x14ac:dyDescent="0.3">
      <c r="A26">
        <v>1451653112</v>
      </c>
      <c r="B26" t="s">
        <v>156</v>
      </c>
    </row>
    <row r="27" spans="1:2" x14ac:dyDescent="0.3">
      <c r="A27">
        <v>1451657016</v>
      </c>
      <c r="B27" t="s">
        <v>157</v>
      </c>
    </row>
    <row r="28" spans="1:2" x14ac:dyDescent="0.3">
      <c r="A28">
        <v>1451659950</v>
      </c>
      <c r="B28" t="s">
        <v>158</v>
      </c>
    </row>
    <row r="29" spans="1:2" x14ac:dyDescent="0.3">
      <c r="A29">
        <v>1451679968</v>
      </c>
      <c r="B29" t="s">
        <v>159</v>
      </c>
    </row>
    <row r="30" spans="1:2" x14ac:dyDescent="0.3">
      <c r="A30">
        <v>1451684497</v>
      </c>
      <c r="B30" t="s">
        <v>160</v>
      </c>
    </row>
    <row r="31" spans="1:2" x14ac:dyDescent="0.3">
      <c r="A31">
        <v>1516774354</v>
      </c>
      <c r="B31" t="s">
        <v>161</v>
      </c>
    </row>
    <row r="32" spans="1:2" x14ac:dyDescent="0.3">
      <c r="A32">
        <v>1516776931</v>
      </c>
      <c r="B32" t="s">
        <v>162</v>
      </c>
    </row>
    <row r="33" spans="1:2" x14ac:dyDescent="0.3">
      <c r="A33">
        <v>1516778406</v>
      </c>
      <c r="B33" t="s">
        <v>163</v>
      </c>
    </row>
    <row r="34" spans="1:2" x14ac:dyDescent="0.3">
      <c r="A34">
        <v>1516819874</v>
      </c>
      <c r="B34" t="s">
        <v>594</v>
      </c>
    </row>
    <row r="35" spans="1:2" x14ac:dyDescent="0.3">
      <c r="A35">
        <v>1516982514</v>
      </c>
      <c r="B35" t="s">
        <v>597</v>
      </c>
    </row>
    <row r="36" spans="1:2" x14ac:dyDescent="0.3">
      <c r="A36">
        <v>1594477498</v>
      </c>
      <c r="B36" t="s">
        <v>599</v>
      </c>
    </row>
    <row r="37" spans="1:2" x14ac:dyDescent="0.3">
      <c r="A37">
        <v>1748320470</v>
      </c>
      <c r="B37" t="s">
        <v>164</v>
      </c>
    </row>
    <row r="38" spans="1:2" x14ac:dyDescent="0.3">
      <c r="A38">
        <v>1748320471</v>
      </c>
      <c r="B38" t="s">
        <v>165</v>
      </c>
    </row>
    <row r="39" spans="1:2" x14ac:dyDescent="0.3">
      <c r="A39">
        <v>1748320472</v>
      </c>
      <c r="B39" t="s">
        <v>166</v>
      </c>
    </row>
    <row r="40" spans="1:2" x14ac:dyDescent="0.3">
      <c r="A40">
        <v>1748320473</v>
      </c>
      <c r="B40" t="s">
        <v>167</v>
      </c>
    </row>
    <row r="41" spans="1:2" x14ac:dyDescent="0.3">
      <c r="A41">
        <v>1748320474</v>
      </c>
      <c r="B41" t="s">
        <v>168</v>
      </c>
    </row>
    <row r="42" spans="1:2" x14ac:dyDescent="0.3">
      <c r="A42">
        <v>1748320477</v>
      </c>
      <c r="B42" t="s">
        <v>169</v>
      </c>
    </row>
    <row r="43" spans="1:2" x14ac:dyDescent="0.3">
      <c r="A43">
        <v>1748320481</v>
      </c>
      <c r="B43" t="s">
        <v>170</v>
      </c>
    </row>
    <row r="44" spans="1:2" x14ac:dyDescent="0.3">
      <c r="A44">
        <v>1748320486</v>
      </c>
      <c r="B44" t="s">
        <v>171</v>
      </c>
    </row>
    <row r="45" spans="1:2" x14ac:dyDescent="0.3">
      <c r="A45">
        <v>1748320488</v>
      </c>
      <c r="B45" t="s">
        <v>172</v>
      </c>
    </row>
    <row r="46" spans="1:2" x14ac:dyDescent="0.3">
      <c r="A46">
        <v>1748320498</v>
      </c>
      <c r="B46" t="s">
        <v>173</v>
      </c>
    </row>
    <row r="47" spans="1:2" x14ac:dyDescent="0.3">
      <c r="A47">
        <v>1756763528</v>
      </c>
      <c r="B47" t="s">
        <v>174</v>
      </c>
    </row>
    <row r="48" spans="1:2" x14ac:dyDescent="0.3">
      <c r="A48">
        <v>1756847793</v>
      </c>
      <c r="B48" t="s">
        <v>175</v>
      </c>
    </row>
    <row r="49" spans="1:2" x14ac:dyDescent="0.3">
      <c r="A49">
        <v>1756928635</v>
      </c>
      <c r="B49" t="s">
        <v>176</v>
      </c>
    </row>
    <row r="50" spans="1:2" x14ac:dyDescent="0.3">
      <c r="A50">
        <v>1757198741</v>
      </c>
      <c r="B50" t="s">
        <v>178</v>
      </c>
    </row>
    <row r="51" spans="1:2" x14ac:dyDescent="0.3">
      <c r="A51">
        <v>1758713639</v>
      </c>
      <c r="B51" t="s">
        <v>179</v>
      </c>
    </row>
    <row r="52" spans="1:2" x14ac:dyDescent="0.3">
      <c r="A52">
        <v>1810155919</v>
      </c>
      <c r="B52" t="s">
        <v>359</v>
      </c>
    </row>
    <row r="53" spans="1:2" x14ac:dyDescent="0.3">
      <c r="A53">
        <v>1819225462</v>
      </c>
      <c r="B53" t="s">
        <v>368</v>
      </c>
    </row>
    <row r="54" spans="1:2" x14ac:dyDescent="0.3">
      <c r="A54">
        <v>1864583210</v>
      </c>
      <c r="B54" t="s">
        <v>370</v>
      </c>
    </row>
    <row r="55" spans="1:2" x14ac:dyDescent="0.3">
      <c r="A55">
        <v>1865416559</v>
      </c>
      <c r="B55" t="s">
        <v>373</v>
      </c>
    </row>
    <row r="56" spans="1:2" x14ac:dyDescent="0.3">
      <c r="A56">
        <v>1865416561</v>
      </c>
      <c r="B56" t="s">
        <v>377</v>
      </c>
    </row>
    <row r="57" spans="1:2" x14ac:dyDescent="0.3">
      <c r="A57">
        <v>1865416599</v>
      </c>
      <c r="B57" t="s">
        <v>379</v>
      </c>
    </row>
    <row r="58" spans="1:2" x14ac:dyDescent="0.3">
      <c r="A58">
        <v>1865557252</v>
      </c>
      <c r="B58" t="s">
        <v>381</v>
      </c>
    </row>
    <row r="59" spans="1:2" x14ac:dyDescent="0.3">
      <c r="A59">
        <v>1865557318</v>
      </c>
      <c r="B59" t="s">
        <v>384</v>
      </c>
    </row>
    <row r="60" spans="1:2" x14ac:dyDescent="0.3">
      <c r="A60">
        <v>1865557347</v>
      </c>
      <c r="B60" t="s">
        <v>385</v>
      </c>
    </row>
    <row r="61" spans="1:2" x14ac:dyDescent="0.3">
      <c r="A61">
        <v>1865557361</v>
      </c>
      <c r="B61" t="s">
        <v>386</v>
      </c>
    </row>
    <row r="62" spans="1:2" x14ac:dyDescent="0.3">
      <c r="A62">
        <v>2237176084</v>
      </c>
      <c r="B62" t="s">
        <v>569</v>
      </c>
    </row>
    <row r="63" spans="1:2" x14ac:dyDescent="0.3">
      <c r="A63">
        <v>2237176090</v>
      </c>
      <c r="B63" t="s">
        <v>572</v>
      </c>
    </row>
    <row r="64" spans="1:2" x14ac:dyDescent="0.3">
      <c r="A64">
        <v>2237176103</v>
      </c>
      <c r="B64" t="s">
        <v>568</v>
      </c>
    </row>
    <row r="65" spans="1:2" x14ac:dyDescent="0.3">
      <c r="A65">
        <v>2237176106</v>
      </c>
      <c r="B65" t="s">
        <v>577</v>
      </c>
    </row>
    <row r="66" spans="1:2" x14ac:dyDescent="0.3">
      <c r="A66">
        <v>2237213099</v>
      </c>
      <c r="B66" t="s">
        <v>581</v>
      </c>
    </row>
    <row r="67" spans="1:2" x14ac:dyDescent="0.3">
      <c r="A67">
        <v>2237282628</v>
      </c>
      <c r="B67" t="s">
        <v>586</v>
      </c>
    </row>
    <row r="68" spans="1:2" x14ac:dyDescent="0.3">
      <c r="A68">
        <v>2237306482</v>
      </c>
      <c r="B68" t="s">
        <v>603</v>
      </c>
    </row>
    <row r="69" spans="1:2" x14ac:dyDescent="0.3">
      <c r="A69">
        <v>2237309378</v>
      </c>
      <c r="B69" t="s">
        <v>590</v>
      </c>
    </row>
    <row r="70" spans="1:2" x14ac:dyDescent="0.3">
      <c r="A70">
        <v>2237311358</v>
      </c>
      <c r="B70" t="s">
        <v>592</v>
      </c>
    </row>
    <row r="71" spans="1:2" x14ac:dyDescent="0.3">
      <c r="A71">
        <v>843059432</v>
      </c>
      <c r="B71" t="s">
        <v>256</v>
      </c>
    </row>
    <row r="72" spans="1:2" x14ac:dyDescent="0.3">
      <c r="A72">
        <v>843059434</v>
      </c>
      <c r="B72" t="s">
        <v>260</v>
      </c>
    </row>
    <row r="73" spans="1:2" x14ac:dyDescent="0.3">
      <c r="A73">
        <v>843059437</v>
      </c>
      <c r="B73" t="s">
        <v>264</v>
      </c>
    </row>
    <row r="74" spans="1:2" x14ac:dyDescent="0.3">
      <c r="A74">
        <v>843059439</v>
      </c>
      <c r="B74" t="s">
        <v>266</v>
      </c>
    </row>
    <row r="75" spans="1:2" x14ac:dyDescent="0.3">
      <c r="A75">
        <v>843059444</v>
      </c>
      <c r="B75" t="s">
        <v>270</v>
      </c>
    </row>
    <row r="76" spans="1:2" x14ac:dyDescent="0.3">
      <c r="A76">
        <v>843059451</v>
      </c>
      <c r="B76" t="s">
        <v>254</v>
      </c>
    </row>
    <row r="77" spans="1:2" x14ac:dyDescent="0.3">
      <c r="A77">
        <v>843059453</v>
      </c>
      <c r="B77" t="s">
        <v>276</v>
      </c>
    </row>
    <row r="78" spans="1:2" x14ac:dyDescent="0.3">
      <c r="A78">
        <v>843059467</v>
      </c>
      <c r="B78" t="s">
        <v>133</v>
      </c>
    </row>
    <row r="79" spans="1:2" x14ac:dyDescent="0.3">
      <c r="A79">
        <v>843059472</v>
      </c>
      <c r="B79" t="s">
        <v>280</v>
      </c>
    </row>
    <row r="80" spans="1:2" x14ac:dyDescent="0.3">
      <c r="A80">
        <v>843059474</v>
      </c>
      <c r="B80" t="s">
        <v>282</v>
      </c>
    </row>
    <row r="81" spans="1:2" x14ac:dyDescent="0.3">
      <c r="A81">
        <v>843059483</v>
      </c>
      <c r="B81" t="s">
        <v>285</v>
      </c>
    </row>
    <row r="82" spans="1:2" x14ac:dyDescent="0.3">
      <c r="A82">
        <v>843059490</v>
      </c>
      <c r="B82" t="s">
        <v>287</v>
      </c>
    </row>
    <row r="83" spans="1:2" x14ac:dyDescent="0.3">
      <c r="A83">
        <v>843059491</v>
      </c>
      <c r="B83" t="s">
        <v>291</v>
      </c>
    </row>
    <row r="84" spans="1:2" x14ac:dyDescent="0.3">
      <c r="A84">
        <v>843059492</v>
      </c>
      <c r="B84" t="s">
        <v>293</v>
      </c>
    </row>
    <row r="85" spans="1:2" x14ac:dyDescent="0.3">
      <c r="A85">
        <v>843059495</v>
      </c>
      <c r="B85" t="s">
        <v>255</v>
      </c>
    </row>
    <row r="86" spans="1:2" x14ac:dyDescent="0.3">
      <c r="A86">
        <v>857444533</v>
      </c>
      <c r="B86" t="s">
        <v>296</v>
      </c>
    </row>
    <row r="87" spans="1:2" x14ac:dyDescent="0.3">
      <c r="A87">
        <v>865231082</v>
      </c>
      <c r="B87" t="s">
        <v>300</v>
      </c>
    </row>
    <row r="88" spans="1:2" x14ac:dyDescent="0.3">
      <c r="A88">
        <v>868507614</v>
      </c>
      <c r="B88" t="s">
        <v>304</v>
      </c>
    </row>
    <row r="89" spans="1:2" x14ac:dyDescent="0.3">
      <c r="A89">
        <v>868535610</v>
      </c>
      <c r="B89" t="s">
        <v>306</v>
      </c>
    </row>
    <row r="90" spans="1:2" x14ac:dyDescent="0.3">
      <c r="A90">
        <v>885454582</v>
      </c>
      <c r="B90" t="s">
        <v>309</v>
      </c>
    </row>
    <row r="91" spans="1:2" x14ac:dyDescent="0.3">
      <c r="A91">
        <v>885455354</v>
      </c>
      <c r="B91" t="s">
        <v>313</v>
      </c>
    </row>
    <row r="92" spans="1:2" x14ac:dyDescent="0.3">
      <c r="A92">
        <v>921873625</v>
      </c>
      <c r="B92" t="s">
        <v>317</v>
      </c>
    </row>
    <row r="93" spans="1:2" x14ac:dyDescent="0.3">
      <c r="A93">
        <v>921893821</v>
      </c>
      <c r="B93" t="s">
        <v>321</v>
      </c>
    </row>
    <row r="94" spans="1:2" x14ac:dyDescent="0.3">
      <c r="A94">
        <v>921904316</v>
      </c>
      <c r="B94" t="s">
        <v>324</v>
      </c>
    </row>
    <row r="95" spans="1:2" x14ac:dyDescent="0.3">
      <c r="A95">
        <v>1028192644</v>
      </c>
      <c r="B95" t="s">
        <v>328</v>
      </c>
    </row>
    <row r="96" spans="1:2" x14ac:dyDescent="0.3">
      <c r="A96">
        <v>1028193647</v>
      </c>
      <c r="B96" t="s">
        <v>332</v>
      </c>
    </row>
    <row r="97" spans="1:2" x14ac:dyDescent="0.3">
      <c r="A97">
        <v>1028194093</v>
      </c>
      <c r="B97" t="s">
        <v>336</v>
      </c>
    </row>
    <row r="98" spans="1:2" x14ac:dyDescent="0.3">
      <c r="A98">
        <v>1422973930</v>
      </c>
      <c r="B98" t="s">
        <v>340</v>
      </c>
    </row>
    <row r="99" spans="1:2" x14ac:dyDescent="0.3">
      <c r="A99">
        <v>1423128376</v>
      </c>
      <c r="B99" t="s">
        <v>343</v>
      </c>
    </row>
    <row r="100" spans="1:2" x14ac:dyDescent="0.3">
      <c r="A100">
        <v>1423198484</v>
      </c>
      <c r="B100" t="s">
        <v>346</v>
      </c>
    </row>
    <row r="101" spans="1:2" x14ac:dyDescent="0.3">
      <c r="A101">
        <v>1451612729</v>
      </c>
      <c r="B101" t="s">
        <v>350</v>
      </c>
    </row>
    <row r="102" spans="1:2" x14ac:dyDescent="0.3">
      <c r="A102">
        <v>1756940283</v>
      </c>
      <c r="B102" t="s">
        <v>353</v>
      </c>
    </row>
    <row r="103" spans="1:2" x14ac:dyDescent="0.3">
      <c r="A103">
        <v>1757085396</v>
      </c>
      <c r="B103" t="s">
        <v>177</v>
      </c>
    </row>
    <row r="104" spans="1:2" x14ac:dyDescent="0.3">
      <c r="A104">
        <v>2327546092</v>
      </c>
      <c r="B104" t="s">
        <v>607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7D1A-19C7-4E8E-81B5-D7D259CB29A8}">
  <sheetPr codeName="Лист12">
    <tabColor rgb="FFFFFF00"/>
  </sheetPr>
  <dimension ref="A1:B35"/>
  <sheetViews>
    <sheetView workbookViewId="0">
      <selection activeCell="T32" sqref="T32"/>
    </sheetView>
  </sheetViews>
  <sheetFormatPr defaultRowHeight="14.4" x14ac:dyDescent="0.3"/>
  <cols>
    <col min="1" max="1" width="11" bestFit="1" customWidth="1"/>
    <col min="2" max="2" width="10.44140625" bestFit="1" customWidth="1"/>
  </cols>
  <sheetData>
    <row r="1" spans="1:2" x14ac:dyDescent="0.3">
      <c r="A1" t="s">
        <v>130</v>
      </c>
      <c r="B1" t="s">
        <v>0</v>
      </c>
    </row>
    <row r="2" spans="1:2" x14ac:dyDescent="0.3">
      <c r="A2">
        <v>843059432</v>
      </c>
      <c r="B2" t="s">
        <v>256</v>
      </c>
    </row>
    <row r="3" spans="1:2" x14ac:dyDescent="0.3">
      <c r="A3">
        <v>843059434</v>
      </c>
      <c r="B3" t="s">
        <v>260</v>
      </c>
    </row>
    <row r="4" spans="1:2" x14ac:dyDescent="0.3">
      <c r="A4">
        <v>843059437</v>
      </c>
      <c r="B4" t="s">
        <v>264</v>
      </c>
    </row>
    <row r="5" spans="1:2" x14ac:dyDescent="0.3">
      <c r="A5">
        <v>843059439</v>
      </c>
      <c r="B5" t="s">
        <v>266</v>
      </c>
    </row>
    <row r="6" spans="1:2" x14ac:dyDescent="0.3">
      <c r="A6">
        <v>843059444</v>
      </c>
      <c r="B6" t="s">
        <v>270</v>
      </c>
    </row>
    <row r="7" spans="1:2" x14ac:dyDescent="0.3">
      <c r="A7">
        <v>843059451</v>
      </c>
      <c r="B7" t="s">
        <v>254</v>
      </c>
    </row>
    <row r="8" spans="1:2" x14ac:dyDescent="0.3">
      <c r="A8">
        <v>843059453</v>
      </c>
      <c r="B8" t="s">
        <v>276</v>
      </c>
    </row>
    <row r="9" spans="1:2" x14ac:dyDescent="0.3">
      <c r="A9">
        <v>843059467</v>
      </c>
      <c r="B9" t="s">
        <v>133</v>
      </c>
    </row>
    <row r="10" spans="1:2" x14ac:dyDescent="0.3">
      <c r="A10">
        <v>843059472</v>
      </c>
      <c r="B10" t="s">
        <v>280</v>
      </c>
    </row>
    <row r="11" spans="1:2" x14ac:dyDescent="0.3">
      <c r="A11">
        <v>843059474</v>
      </c>
      <c r="B11" t="s">
        <v>282</v>
      </c>
    </row>
    <row r="12" spans="1:2" x14ac:dyDescent="0.3">
      <c r="A12">
        <v>843059483</v>
      </c>
      <c r="B12" t="s">
        <v>285</v>
      </c>
    </row>
    <row r="13" spans="1:2" x14ac:dyDescent="0.3">
      <c r="A13">
        <v>843059490</v>
      </c>
      <c r="B13" t="s">
        <v>287</v>
      </c>
    </row>
    <row r="14" spans="1:2" x14ac:dyDescent="0.3">
      <c r="A14">
        <v>843059491</v>
      </c>
      <c r="B14" t="s">
        <v>291</v>
      </c>
    </row>
    <row r="15" spans="1:2" x14ac:dyDescent="0.3">
      <c r="A15">
        <v>843059492</v>
      </c>
      <c r="B15" t="s">
        <v>293</v>
      </c>
    </row>
    <row r="16" spans="1:2" x14ac:dyDescent="0.3">
      <c r="A16">
        <v>843059495</v>
      </c>
      <c r="B16" t="s">
        <v>255</v>
      </c>
    </row>
    <row r="17" spans="1:2" x14ac:dyDescent="0.3">
      <c r="A17">
        <v>857444533</v>
      </c>
      <c r="B17" t="s">
        <v>296</v>
      </c>
    </row>
    <row r="18" spans="1:2" x14ac:dyDescent="0.3">
      <c r="A18">
        <v>865231082</v>
      </c>
      <c r="B18" t="s">
        <v>300</v>
      </c>
    </row>
    <row r="19" spans="1:2" x14ac:dyDescent="0.3">
      <c r="A19">
        <v>868507614</v>
      </c>
      <c r="B19" t="s">
        <v>304</v>
      </c>
    </row>
    <row r="20" spans="1:2" x14ac:dyDescent="0.3">
      <c r="A20">
        <v>868535610</v>
      </c>
      <c r="B20" t="s">
        <v>306</v>
      </c>
    </row>
    <row r="21" spans="1:2" x14ac:dyDescent="0.3">
      <c r="A21">
        <v>885454582</v>
      </c>
      <c r="B21" t="s">
        <v>309</v>
      </c>
    </row>
    <row r="22" spans="1:2" x14ac:dyDescent="0.3">
      <c r="A22">
        <v>885455354</v>
      </c>
      <c r="B22" t="s">
        <v>313</v>
      </c>
    </row>
    <row r="23" spans="1:2" x14ac:dyDescent="0.3">
      <c r="A23">
        <v>921873625</v>
      </c>
      <c r="B23" t="s">
        <v>317</v>
      </c>
    </row>
    <row r="24" spans="1:2" x14ac:dyDescent="0.3">
      <c r="A24">
        <v>921893821</v>
      </c>
      <c r="B24" t="s">
        <v>321</v>
      </c>
    </row>
    <row r="25" spans="1:2" x14ac:dyDescent="0.3">
      <c r="A25">
        <v>921904316</v>
      </c>
      <c r="B25" t="s">
        <v>324</v>
      </c>
    </row>
    <row r="26" spans="1:2" x14ac:dyDescent="0.3">
      <c r="A26">
        <v>1028192644</v>
      </c>
      <c r="B26" t="s">
        <v>328</v>
      </c>
    </row>
    <row r="27" spans="1:2" x14ac:dyDescent="0.3">
      <c r="A27">
        <v>1028193647</v>
      </c>
      <c r="B27" t="s">
        <v>332</v>
      </c>
    </row>
    <row r="28" spans="1:2" x14ac:dyDescent="0.3">
      <c r="A28">
        <v>1028194093</v>
      </c>
      <c r="B28" t="s">
        <v>336</v>
      </c>
    </row>
    <row r="29" spans="1:2" x14ac:dyDescent="0.3">
      <c r="A29">
        <v>1422973930</v>
      </c>
      <c r="B29" t="s">
        <v>340</v>
      </c>
    </row>
    <row r="30" spans="1:2" x14ac:dyDescent="0.3">
      <c r="A30">
        <v>1423128376</v>
      </c>
      <c r="B30" t="s">
        <v>343</v>
      </c>
    </row>
    <row r="31" spans="1:2" x14ac:dyDescent="0.3">
      <c r="A31">
        <v>1423198484</v>
      </c>
      <c r="B31" t="s">
        <v>346</v>
      </c>
    </row>
    <row r="32" spans="1:2" x14ac:dyDescent="0.3">
      <c r="A32">
        <v>1451612729</v>
      </c>
      <c r="B32" t="s">
        <v>350</v>
      </c>
    </row>
    <row r="33" spans="1:2" x14ac:dyDescent="0.3">
      <c r="A33">
        <v>1756940283</v>
      </c>
      <c r="B33" t="s">
        <v>353</v>
      </c>
    </row>
    <row r="34" spans="1:2" x14ac:dyDescent="0.3">
      <c r="A34">
        <v>1757085396</v>
      </c>
      <c r="B34" t="s">
        <v>177</v>
      </c>
    </row>
    <row r="35" spans="1:2" x14ac:dyDescent="0.3">
      <c r="A35">
        <v>2327546092</v>
      </c>
      <c r="B35" t="s">
        <v>607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24C28-7894-4857-BED6-BAD059E3F184}">
  <sheetPr codeName="Лист13">
    <tabColor rgb="FFFFFF00"/>
  </sheetPr>
  <dimension ref="A1:T104"/>
  <sheetViews>
    <sheetView workbookViewId="0">
      <selection activeCell="T32" sqref="T32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80.88671875" bestFit="1" customWidth="1"/>
    <col min="4" max="4" width="13.77734375" bestFit="1" customWidth="1"/>
    <col min="5" max="5" width="8.5546875" bestFit="1" customWidth="1"/>
    <col min="6" max="6" width="8.21875" bestFit="1" customWidth="1"/>
    <col min="7" max="7" width="8" bestFit="1" customWidth="1"/>
    <col min="8" max="8" width="16.44140625" bestFit="1" customWidth="1"/>
    <col min="10" max="10" width="13.21875" bestFit="1" customWidth="1"/>
    <col min="11" max="11" width="23.77734375" bestFit="1" customWidth="1"/>
    <col min="12" max="12" width="9.5546875" bestFit="1" customWidth="1"/>
    <col min="13" max="13" width="49.77734375" bestFit="1" customWidth="1"/>
    <col min="14" max="14" width="11.109375" bestFit="1" customWidth="1"/>
    <col min="15" max="15" width="8.109375" bestFit="1" customWidth="1"/>
    <col min="16" max="16" width="11.33203125" bestFit="1" customWidth="1"/>
    <col min="17" max="17" width="19.6640625" bestFit="1" customWidth="1"/>
    <col min="18" max="18" width="49.44140625" bestFit="1" customWidth="1"/>
    <col min="19" max="19" width="11" bestFit="1" customWidth="1"/>
    <col min="20" max="20" width="16.44140625" bestFit="1" customWidth="1"/>
  </cols>
  <sheetData>
    <row r="1" spans="1:20" x14ac:dyDescent="0.3">
      <c r="A1" t="s">
        <v>564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565</v>
      </c>
      <c r="Q1" t="s">
        <v>566</v>
      </c>
      <c r="R1" t="s">
        <v>194</v>
      </c>
      <c r="S1" t="s">
        <v>195</v>
      </c>
      <c r="T1" t="s">
        <v>560</v>
      </c>
    </row>
    <row r="2" spans="1:20" x14ac:dyDescent="0.3">
      <c r="A2">
        <v>843059457</v>
      </c>
      <c r="B2" t="s">
        <v>51</v>
      </c>
      <c r="C2" t="s">
        <v>52</v>
      </c>
      <c r="D2" t="s">
        <v>131</v>
      </c>
      <c r="E2">
        <v>50</v>
      </c>
      <c r="F2">
        <v>140</v>
      </c>
      <c r="G2">
        <v>120</v>
      </c>
      <c r="H2" t="s">
        <v>196</v>
      </c>
      <c r="I2">
        <v>250</v>
      </c>
      <c r="J2" t="s">
        <v>197</v>
      </c>
      <c r="K2">
        <v>17028649</v>
      </c>
      <c r="L2">
        <v>95272</v>
      </c>
      <c r="M2" t="s">
        <v>198</v>
      </c>
      <c r="N2">
        <v>49816357</v>
      </c>
      <c r="O2">
        <v>5</v>
      </c>
      <c r="P2" t="s">
        <v>567</v>
      </c>
      <c r="Q2" t="s">
        <v>567</v>
      </c>
      <c r="R2" t="s">
        <v>199</v>
      </c>
      <c r="S2">
        <v>1394692934</v>
      </c>
      <c r="T2" t="s">
        <v>561</v>
      </c>
    </row>
    <row r="3" spans="1:20" x14ac:dyDescent="0.3">
      <c r="A3">
        <v>843059458</v>
      </c>
      <c r="B3" t="s">
        <v>49</v>
      </c>
      <c r="C3" t="s">
        <v>50</v>
      </c>
      <c r="D3" t="s">
        <v>132</v>
      </c>
      <c r="E3">
        <v>50</v>
      </c>
      <c r="F3">
        <v>140</v>
      </c>
      <c r="G3">
        <v>120</v>
      </c>
      <c r="H3" t="s">
        <v>196</v>
      </c>
      <c r="I3">
        <v>250</v>
      </c>
      <c r="J3" t="s">
        <v>197</v>
      </c>
      <c r="K3">
        <v>17028649</v>
      </c>
      <c r="L3">
        <v>95272</v>
      </c>
      <c r="M3" t="s">
        <v>200</v>
      </c>
      <c r="N3">
        <v>49816357</v>
      </c>
      <c r="O3">
        <v>5</v>
      </c>
      <c r="P3" t="s">
        <v>567</v>
      </c>
      <c r="Q3" t="s">
        <v>567</v>
      </c>
      <c r="R3" t="s">
        <v>199</v>
      </c>
      <c r="S3">
        <v>1394692943</v>
      </c>
      <c r="T3" t="s">
        <v>561</v>
      </c>
    </row>
    <row r="4" spans="1:20" x14ac:dyDescent="0.3">
      <c r="A4">
        <v>988666365</v>
      </c>
      <c r="B4" t="s">
        <v>55</v>
      </c>
      <c r="C4" t="s">
        <v>56</v>
      </c>
      <c r="D4" t="s">
        <v>134</v>
      </c>
      <c r="E4">
        <v>100</v>
      </c>
      <c r="F4">
        <v>350</v>
      </c>
      <c r="G4">
        <v>80</v>
      </c>
      <c r="H4" t="s">
        <v>196</v>
      </c>
      <c r="I4">
        <v>500</v>
      </c>
      <c r="J4" t="s">
        <v>197</v>
      </c>
      <c r="K4">
        <v>17028973</v>
      </c>
      <c r="L4">
        <v>92843</v>
      </c>
      <c r="M4" t="s">
        <v>202</v>
      </c>
      <c r="N4">
        <v>358633050</v>
      </c>
      <c r="O4">
        <v>23</v>
      </c>
      <c r="P4" t="s">
        <v>567</v>
      </c>
      <c r="Q4" t="s">
        <v>567</v>
      </c>
      <c r="R4" t="s">
        <v>199</v>
      </c>
      <c r="S4">
        <v>1519341213</v>
      </c>
      <c r="T4" t="s">
        <v>561</v>
      </c>
    </row>
    <row r="5" spans="1:20" x14ac:dyDescent="0.3">
      <c r="A5">
        <v>988740676</v>
      </c>
      <c r="B5" t="s">
        <v>57</v>
      </c>
      <c r="C5" t="s">
        <v>58</v>
      </c>
      <c r="D5" t="s">
        <v>135</v>
      </c>
      <c r="E5">
        <v>90</v>
      </c>
      <c r="F5">
        <v>300</v>
      </c>
      <c r="G5">
        <v>80</v>
      </c>
      <c r="H5" t="s">
        <v>196</v>
      </c>
      <c r="I5">
        <v>400</v>
      </c>
      <c r="J5" t="s">
        <v>197</v>
      </c>
      <c r="K5">
        <v>17028973</v>
      </c>
      <c r="L5">
        <v>92843</v>
      </c>
      <c r="M5" t="s">
        <v>392</v>
      </c>
      <c r="N5">
        <v>623372162</v>
      </c>
      <c r="O5">
        <v>10</v>
      </c>
      <c r="P5" t="s">
        <v>567</v>
      </c>
      <c r="Q5" t="s">
        <v>567</v>
      </c>
      <c r="R5" t="s">
        <v>393</v>
      </c>
      <c r="S5">
        <v>1519420173</v>
      </c>
      <c r="T5" t="s">
        <v>561</v>
      </c>
    </row>
    <row r="6" spans="1:20" x14ac:dyDescent="0.3">
      <c r="A6">
        <v>1069382809</v>
      </c>
      <c r="B6" t="s">
        <v>59</v>
      </c>
      <c r="C6" t="s">
        <v>60</v>
      </c>
      <c r="D6" t="s">
        <v>136</v>
      </c>
      <c r="E6">
        <v>90</v>
      </c>
      <c r="F6">
        <v>300</v>
      </c>
      <c r="G6">
        <v>80</v>
      </c>
      <c r="H6" t="s">
        <v>196</v>
      </c>
      <c r="I6">
        <v>400</v>
      </c>
      <c r="J6" t="s">
        <v>197</v>
      </c>
      <c r="K6">
        <v>17028973</v>
      </c>
      <c r="L6">
        <v>92843</v>
      </c>
      <c r="M6" t="s">
        <v>394</v>
      </c>
      <c r="N6">
        <v>623372162</v>
      </c>
      <c r="O6">
        <v>10</v>
      </c>
      <c r="P6" t="s">
        <v>567</v>
      </c>
      <c r="Q6" t="s">
        <v>567</v>
      </c>
      <c r="R6" t="s">
        <v>395</v>
      </c>
      <c r="S6">
        <v>1590279344</v>
      </c>
      <c r="T6" t="s">
        <v>561</v>
      </c>
    </row>
    <row r="7" spans="1:20" x14ac:dyDescent="0.3">
      <c r="A7">
        <v>1069389628</v>
      </c>
      <c r="B7" t="s">
        <v>61</v>
      </c>
      <c r="C7" t="s">
        <v>62</v>
      </c>
      <c r="D7" t="s">
        <v>137</v>
      </c>
      <c r="E7">
        <v>90</v>
      </c>
      <c r="F7">
        <v>300</v>
      </c>
      <c r="G7">
        <v>80</v>
      </c>
      <c r="H7" t="s">
        <v>196</v>
      </c>
      <c r="I7">
        <v>400</v>
      </c>
      <c r="J7" t="s">
        <v>197</v>
      </c>
      <c r="K7">
        <v>17028973</v>
      </c>
      <c r="L7">
        <v>92843</v>
      </c>
      <c r="M7" t="s">
        <v>396</v>
      </c>
      <c r="N7">
        <v>623372162</v>
      </c>
      <c r="O7">
        <v>10</v>
      </c>
      <c r="P7" t="s">
        <v>567</v>
      </c>
      <c r="Q7" t="s">
        <v>567</v>
      </c>
      <c r="R7" t="s">
        <v>397</v>
      </c>
      <c r="S7">
        <v>1590286574</v>
      </c>
      <c r="T7" t="s">
        <v>561</v>
      </c>
    </row>
    <row r="8" spans="1:20" x14ac:dyDescent="0.3">
      <c r="A8">
        <v>1069390113</v>
      </c>
      <c r="B8" t="s">
        <v>63</v>
      </c>
      <c r="C8" t="s">
        <v>64</v>
      </c>
      <c r="D8" t="s">
        <v>138</v>
      </c>
      <c r="E8">
        <v>90</v>
      </c>
      <c r="F8">
        <v>300</v>
      </c>
      <c r="G8">
        <v>80</v>
      </c>
      <c r="H8" t="s">
        <v>196</v>
      </c>
      <c r="I8">
        <v>400</v>
      </c>
      <c r="J8" t="s">
        <v>197</v>
      </c>
      <c r="K8">
        <v>17028973</v>
      </c>
      <c r="L8">
        <v>92843</v>
      </c>
      <c r="M8" t="s">
        <v>398</v>
      </c>
      <c r="N8">
        <v>623372162</v>
      </c>
      <c r="O8">
        <v>10</v>
      </c>
      <c r="P8" t="s">
        <v>567</v>
      </c>
      <c r="Q8" t="s">
        <v>567</v>
      </c>
      <c r="R8" t="s">
        <v>399</v>
      </c>
      <c r="S8">
        <v>1590287100</v>
      </c>
      <c r="T8" t="s">
        <v>561</v>
      </c>
    </row>
    <row r="9" spans="1:20" x14ac:dyDescent="0.3">
      <c r="A9">
        <v>1122297895</v>
      </c>
      <c r="B9" t="s">
        <v>65</v>
      </c>
      <c r="C9" t="s">
        <v>66</v>
      </c>
      <c r="D9" t="s">
        <v>139</v>
      </c>
      <c r="E9">
        <v>100</v>
      </c>
      <c r="F9">
        <v>350</v>
      </c>
      <c r="G9">
        <v>80</v>
      </c>
      <c r="H9" t="s">
        <v>196</v>
      </c>
      <c r="I9">
        <v>500</v>
      </c>
      <c r="J9" t="s">
        <v>197</v>
      </c>
      <c r="K9">
        <v>17028973</v>
      </c>
      <c r="L9">
        <v>92843</v>
      </c>
      <c r="M9" t="s">
        <v>203</v>
      </c>
      <c r="N9">
        <v>358633050</v>
      </c>
      <c r="O9">
        <v>23</v>
      </c>
      <c r="P9" t="s">
        <v>567</v>
      </c>
      <c r="Q9" t="s">
        <v>567</v>
      </c>
      <c r="R9" t="s">
        <v>199</v>
      </c>
      <c r="S9">
        <v>1638138900</v>
      </c>
      <c r="T9" t="s">
        <v>561</v>
      </c>
    </row>
    <row r="10" spans="1:20" x14ac:dyDescent="0.3">
      <c r="A10">
        <v>1122299195</v>
      </c>
      <c r="B10" t="s">
        <v>67</v>
      </c>
      <c r="C10" t="s">
        <v>68</v>
      </c>
      <c r="D10" t="s">
        <v>140</v>
      </c>
      <c r="E10">
        <v>100</v>
      </c>
      <c r="F10">
        <v>350</v>
      </c>
      <c r="G10">
        <v>80</v>
      </c>
      <c r="H10" t="s">
        <v>196</v>
      </c>
      <c r="I10">
        <v>500</v>
      </c>
      <c r="J10" t="s">
        <v>197</v>
      </c>
      <c r="K10">
        <v>17028973</v>
      </c>
      <c r="L10">
        <v>92843</v>
      </c>
      <c r="M10" t="s">
        <v>204</v>
      </c>
      <c r="N10">
        <v>358633050</v>
      </c>
      <c r="O10">
        <v>23</v>
      </c>
      <c r="P10" t="s">
        <v>567</v>
      </c>
      <c r="Q10" t="s">
        <v>567</v>
      </c>
      <c r="R10" t="s">
        <v>199</v>
      </c>
      <c r="S10">
        <v>1638139882</v>
      </c>
      <c r="T10" t="s">
        <v>561</v>
      </c>
    </row>
    <row r="11" spans="1:20" x14ac:dyDescent="0.3">
      <c r="A11">
        <v>1380763908</v>
      </c>
      <c r="B11" t="s">
        <v>69</v>
      </c>
      <c r="C11" t="s">
        <v>70</v>
      </c>
      <c r="D11" t="s">
        <v>141</v>
      </c>
      <c r="E11">
        <v>90</v>
      </c>
      <c r="F11">
        <v>300</v>
      </c>
      <c r="G11">
        <v>80</v>
      </c>
      <c r="H11" t="s">
        <v>196</v>
      </c>
      <c r="I11">
        <v>400</v>
      </c>
      <c r="J11" t="s">
        <v>197</v>
      </c>
      <c r="K11">
        <v>17028973</v>
      </c>
      <c r="L11">
        <v>92843</v>
      </c>
      <c r="M11" t="s">
        <v>400</v>
      </c>
      <c r="N11">
        <v>623372162</v>
      </c>
      <c r="O11">
        <v>10</v>
      </c>
      <c r="P11" t="s">
        <v>567</v>
      </c>
      <c r="Q11" t="s">
        <v>567</v>
      </c>
      <c r="R11" t="s">
        <v>401</v>
      </c>
      <c r="S11">
        <v>1853555631</v>
      </c>
      <c r="T11" t="s">
        <v>561</v>
      </c>
    </row>
    <row r="12" spans="1:20" x14ac:dyDescent="0.3">
      <c r="A12">
        <v>1380766795</v>
      </c>
      <c r="B12" t="s">
        <v>71</v>
      </c>
      <c r="C12" t="s">
        <v>72</v>
      </c>
      <c r="D12" t="s">
        <v>142</v>
      </c>
      <c r="E12">
        <v>90</v>
      </c>
      <c r="F12">
        <v>300</v>
      </c>
      <c r="G12">
        <v>80</v>
      </c>
      <c r="H12" t="s">
        <v>196</v>
      </c>
      <c r="I12">
        <v>400</v>
      </c>
      <c r="J12" t="s">
        <v>197</v>
      </c>
      <c r="K12">
        <v>17028973</v>
      </c>
      <c r="L12">
        <v>92843</v>
      </c>
      <c r="M12" t="s">
        <v>402</v>
      </c>
      <c r="N12">
        <v>623372162</v>
      </c>
      <c r="O12">
        <v>10</v>
      </c>
      <c r="P12" t="s">
        <v>567</v>
      </c>
      <c r="Q12" t="s">
        <v>567</v>
      </c>
      <c r="R12" t="s">
        <v>399</v>
      </c>
      <c r="S12">
        <v>1853557812</v>
      </c>
      <c r="T12" t="s">
        <v>561</v>
      </c>
    </row>
    <row r="13" spans="1:20" x14ac:dyDescent="0.3">
      <c r="A13">
        <v>1451549617</v>
      </c>
      <c r="B13" t="s">
        <v>89</v>
      </c>
      <c r="C13" t="s">
        <v>90</v>
      </c>
      <c r="D13" t="s">
        <v>143</v>
      </c>
      <c r="E13">
        <v>100</v>
      </c>
      <c r="F13">
        <v>410</v>
      </c>
      <c r="G13">
        <v>80</v>
      </c>
      <c r="H13" t="s">
        <v>196</v>
      </c>
      <c r="I13">
        <v>500</v>
      </c>
      <c r="J13" t="s">
        <v>197</v>
      </c>
      <c r="K13">
        <v>17028973</v>
      </c>
      <c r="L13">
        <v>92843</v>
      </c>
      <c r="M13" t="s">
        <v>205</v>
      </c>
      <c r="N13">
        <v>358633050</v>
      </c>
      <c r="O13">
        <v>23</v>
      </c>
      <c r="P13" t="s">
        <v>567</v>
      </c>
      <c r="Q13" t="s">
        <v>567</v>
      </c>
      <c r="R13" t="s">
        <v>199</v>
      </c>
      <c r="S13">
        <v>1908673448</v>
      </c>
      <c r="T13" t="s">
        <v>561</v>
      </c>
    </row>
    <row r="14" spans="1:20" x14ac:dyDescent="0.3">
      <c r="A14">
        <v>1451559823</v>
      </c>
      <c r="B14" t="s">
        <v>91</v>
      </c>
      <c r="C14" t="s">
        <v>92</v>
      </c>
      <c r="D14" t="s">
        <v>144</v>
      </c>
      <c r="E14">
        <v>100</v>
      </c>
      <c r="F14">
        <v>410</v>
      </c>
      <c r="G14">
        <v>80</v>
      </c>
      <c r="H14" t="s">
        <v>196</v>
      </c>
      <c r="I14">
        <v>500</v>
      </c>
      <c r="J14" t="s">
        <v>197</v>
      </c>
      <c r="K14">
        <v>17028973</v>
      </c>
      <c r="L14">
        <v>92843</v>
      </c>
      <c r="M14" t="s">
        <v>206</v>
      </c>
      <c r="N14">
        <v>358633050</v>
      </c>
      <c r="O14">
        <v>23</v>
      </c>
      <c r="P14" t="s">
        <v>567</v>
      </c>
      <c r="Q14" t="s">
        <v>567</v>
      </c>
      <c r="R14" t="s">
        <v>199</v>
      </c>
      <c r="S14">
        <v>1908681312</v>
      </c>
      <c r="T14" t="s">
        <v>561</v>
      </c>
    </row>
    <row r="15" spans="1:20" x14ac:dyDescent="0.3">
      <c r="A15">
        <v>1451564316</v>
      </c>
      <c r="B15" t="s">
        <v>93</v>
      </c>
      <c r="C15" t="s">
        <v>94</v>
      </c>
      <c r="D15" t="s">
        <v>145</v>
      </c>
      <c r="E15">
        <v>100</v>
      </c>
      <c r="F15">
        <v>410</v>
      </c>
      <c r="G15">
        <v>80</v>
      </c>
      <c r="H15" t="s">
        <v>196</v>
      </c>
      <c r="I15">
        <v>500</v>
      </c>
      <c r="J15" t="s">
        <v>197</v>
      </c>
      <c r="K15">
        <v>17028973</v>
      </c>
      <c r="L15">
        <v>92843</v>
      </c>
      <c r="M15" t="s">
        <v>207</v>
      </c>
      <c r="N15">
        <v>358633050</v>
      </c>
      <c r="O15">
        <v>23</v>
      </c>
      <c r="P15" t="s">
        <v>567</v>
      </c>
      <c r="Q15" t="s">
        <v>567</v>
      </c>
      <c r="R15" t="s">
        <v>199</v>
      </c>
      <c r="S15">
        <v>1908684647</v>
      </c>
      <c r="T15" t="s">
        <v>561</v>
      </c>
    </row>
    <row r="16" spans="1:20" x14ac:dyDescent="0.3">
      <c r="A16">
        <v>1451569363</v>
      </c>
      <c r="B16" t="s">
        <v>73</v>
      </c>
      <c r="C16" t="s">
        <v>74</v>
      </c>
      <c r="D16" t="s">
        <v>146</v>
      </c>
      <c r="E16">
        <v>100</v>
      </c>
      <c r="F16">
        <v>350</v>
      </c>
      <c r="G16">
        <v>80</v>
      </c>
      <c r="H16" t="s">
        <v>196</v>
      </c>
      <c r="I16">
        <v>500</v>
      </c>
      <c r="J16" t="s">
        <v>197</v>
      </c>
      <c r="K16">
        <v>17028973</v>
      </c>
      <c r="L16">
        <v>92843</v>
      </c>
      <c r="M16" t="s">
        <v>208</v>
      </c>
      <c r="N16">
        <v>358633050</v>
      </c>
      <c r="O16">
        <v>23</v>
      </c>
      <c r="P16" t="s">
        <v>567</v>
      </c>
      <c r="Q16" t="s">
        <v>567</v>
      </c>
      <c r="R16" t="s">
        <v>199</v>
      </c>
      <c r="S16">
        <v>1908688447</v>
      </c>
      <c r="T16" t="s">
        <v>561</v>
      </c>
    </row>
    <row r="17" spans="1:20" x14ac:dyDescent="0.3">
      <c r="A17">
        <v>1451573043</v>
      </c>
      <c r="B17" t="s">
        <v>75</v>
      </c>
      <c r="C17" t="s">
        <v>76</v>
      </c>
      <c r="D17" t="s">
        <v>147</v>
      </c>
      <c r="E17">
        <v>100</v>
      </c>
      <c r="F17">
        <v>350</v>
      </c>
      <c r="G17">
        <v>80</v>
      </c>
      <c r="H17" t="s">
        <v>196</v>
      </c>
      <c r="I17">
        <v>500</v>
      </c>
      <c r="J17" t="s">
        <v>197</v>
      </c>
      <c r="K17">
        <v>17028973</v>
      </c>
      <c r="L17">
        <v>92843</v>
      </c>
      <c r="M17" t="s">
        <v>209</v>
      </c>
      <c r="N17">
        <v>358633050</v>
      </c>
      <c r="O17">
        <v>23</v>
      </c>
      <c r="P17" t="s">
        <v>567</v>
      </c>
      <c r="Q17" t="s">
        <v>567</v>
      </c>
      <c r="R17" t="s">
        <v>199</v>
      </c>
      <c r="S17">
        <v>1908691731</v>
      </c>
      <c r="T17" t="s">
        <v>561</v>
      </c>
    </row>
    <row r="18" spans="1:20" x14ac:dyDescent="0.3">
      <c r="A18">
        <v>1451575884</v>
      </c>
      <c r="B18" t="s">
        <v>77</v>
      </c>
      <c r="C18" t="s">
        <v>78</v>
      </c>
      <c r="D18" t="s">
        <v>148</v>
      </c>
      <c r="E18">
        <v>100</v>
      </c>
      <c r="F18">
        <v>350</v>
      </c>
      <c r="G18">
        <v>80</v>
      </c>
      <c r="H18" t="s">
        <v>196</v>
      </c>
      <c r="I18">
        <v>500</v>
      </c>
      <c r="J18" t="s">
        <v>197</v>
      </c>
      <c r="K18">
        <v>17028973</v>
      </c>
      <c r="L18">
        <v>92843</v>
      </c>
      <c r="M18" t="s">
        <v>210</v>
      </c>
      <c r="N18">
        <v>358633050</v>
      </c>
      <c r="O18">
        <v>23</v>
      </c>
      <c r="P18" t="s">
        <v>567</v>
      </c>
      <c r="Q18" t="s">
        <v>567</v>
      </c>
      <c r="R18" t="s">
        <v>199</v>
      </c>
      <c r="S18">
        <v>1908692846</v>
      </c>
      <c r="T18" t="s">
        <v>561</v>
      </c>
    </row>
    <row r="19" spans="1:20" x14ac:dyDescent="0.3">
      <c r="A19">
        <v>1451579904</v>
      </c>
      <c r="B19" t="s">
        <v>79</v>
      </c>
      <c r="C19" t="s">
        <v>80</v>
      </c>
      <c r="D19" t="s">
        <v>149</v>
      </c>
      <c r="E19">
        <v>100</v>
      </c>
      <c r="F19">
        <v>350</v>
      </c>
      <c r="G19">
        <v>80</v>
      </c>
      <c r="H19" t="s">
        <v>196</v>
      </c>
      <c r="I19">
        <v>500</v>
      </c>
      <c r="J19" t="s">
        <v>197</v>
      </c>
      <c r="K19">
        <v>17028973</v>
      </c>
      <c r="L19">
        <v>92843</v>
      </c>
      <c r="M19" t="s">
        <v>211</v>
      </c>
      <c r="N19">
        <v>358633050</v>
      </c>
      <c r="O19">
        <v>23</v>
      </c>
      <c r="P19" t="s">
        <v>567</v>
      </c>
      <c r="Q19" t="s">
        <v>567</v>
      </c>
      <c r="R19" t="s">
        <v>199</v>
      </c>
      <c r="S19">
        <v>1908699436</v>
      </c>
      <c r="T19" t="s">
        <v>561</v>
      </c>
    </row>
    <row r="20" spans="1:20" x14ac:dyDescent="0.3">
      <c r="A20">
        <v>1451582042</v>
      </c>
      <c r="B20" t="s">
        <v>81</v>
      </c>
      <c r="C20" t="s">
        <v>82</v>
      </c>
      <c r="D20" t="s">
        <v>150</v>
      </c>
      <c r="E20">
        <v>100</v>
      </c>
      <c r="F20">
        <v>350</v>
      </c>
      <c r="G20">
        <v>80</v>
      </c>
      <c r="H20" t="s">
        <v>196</v>
      </c>
      <c r="I20">
        <v>500</v>
      </c>
      <c r="J20" t="s">
        <v>197</v>
      </c>
      <c r="K20">
        <v>17028973</v>
      </c>
      <c r="L20">
        <v>92843</v>
      </c>
      <c r="M20" t="s">
        <v>212</v>
      </c>
      <c r="N20">
        <v>358633050</v>
      </c>
      <c r="O20">
        <v>23</v>
      </c>
      <c r="P20" t="s">
        <v>567</v>
      </c>
      <c r="Q20" t="s">
        <v>567</v>
      </c>
      <c r="R20" t="s">
        <v>199</v>
      </c>
      <c r="S20">
        <v>1908696804</v>
      </c>
      <c r="T20" t="s">
        <v>561</v>
      </c>
    </row>
    <row r="21" spans="1:20" x14ac:dyDescent="0.3">
      <c r="A21">
        <v>1451585782</v>
      </c>
      <c r="B21" t="s">
        <v>83</v>
      </c>
      <c r="C21" t="s">
        <v>84</v>
      </c>
      <c r="D21" t="s">
        <v>151</v>
      </c>
      <c r="E21">
        <v>100</v>
      </c>
      <c r="F21">
        <v>350</v>
      </c>
      <c r="G21">
        <v>80</v>
      </c>
      <c r="H21" t="s">
        <v>196</v>
      </c>
      <c r="I21">
        <v>500</v>
      </c>
      <c r="J21" t="s">
        <v>197</v>
      </c>
      <c r="K21">
        <v>17028973</v>
      </c>
      <c r="L21">
        <v>92843</v>
      </c>
      <c r="M21" t="s">
        <v>213</v>
      </c>
      <c r="N21">
        <v>358633050</v>
      </c>
      <c r="O21">
        <v>23</v>
      </c>
      <c r="P21" t="s">
        <v>567</v>
      </c>
      <c r="Q21" t="s">
        <v>567</v>
      </c>
      <c r="R21" t="s">
        <v>199</v>
      </c>
      <c r="S21">
        <v>1908704901</v>
      </c>
      <c r="T21" t="s">
        <v>561</v>
      </c>
    </row>
    <row r="22" spans="1:20" x14ac:dyDescent="0.3">
      <c r="A22">
        <v>1451590136</v>
      </c>
      <c r="B22" t="s">
        <v>85</v>
      </c>
      <c r="C22" t="s">
        <v>86</v>
      </c>
      <c r="D22" t="s">
        <v>152</v>
      </c>
      <c r="E22">
        <v>100</v>
      </c>
      <c r="F22">
        <v>350</v>
      </c>
      <c r="G22">
        <v>80</v>
      </c>
      <c r="H22" t="s">
        <v>196</v>
      </c>
      <c r="I22">
        <v>500</v>
      </c>
      <c r="J22" t="s">
        <v>197</v>
      </c>
      <c r="K22">
        <v>17028973</v>
      </c>
      <c r="L22">
        <v>92843</v>
      </c>
      <c r="M22" t="s">
        <v>214</v>
      </c>
      <c r="N22">
        <v>358633050</v>
      </c>
      <c r="O22">
        <v>23</v>
      </c>
      <c r="P22" t="s">
        <v>567</v>
      </c>
      <c r="Q22" t="s">
        <v>567</v>
      </c>
      <c r="R22" t="s">
        <v>199</v>
      </c>
      <c r="S22">
        <v>1908703168</v>
      </c>
      <c r="T22" t="s">
        <v>561</v>
      </c>
    </row>
    <row r="23" spans="1:20" x14ac:dyDescent="0.3">
      <c r="A23">
        <v>1451606246</v>
      </c>
      <c r="B23" t="s">
        <v>87</v>
      </c>
      <c r="C23" t="s">
        <v>88</v>
      </c>
      <c r="D23" t="s">
        <v>153</v>
      </c>
      <c r="E23">
        <v>100</v>
      </c>
      <c r="F23">
        <v>350</v>
      </c>
      <c r="G23">
        <v>80</v>
      </c>
      <c r="H23" t="s">
        <v>196</v>
      </c>
      <c r="I23">
        <v>500</v>
      </c>
      <c r="J23" t="s">
        <v>197</v>
      </c>
      <c r="K23">
        <v>17028973</v>
      </c>
      <c r="L23">
        <v>92843</v>
      </c>
      <c r="M23" t="s">
        <v>215</v>
      </c>
      <c r="N23">
        <v>358633050</v>
      </c>
      <c r="O23">
        <v>23</v>
      </c>
      <c r="P23" t="s">
        <v>567</v>
      </c>
      <c r="Q23" t="s">
        <v>567</v>
      </c>
      <c r="R23" t="s">
        <v>199</v>
      </c>
      <c r="S23">
        <v>1908721954</v>
      </c>
      <c r="T23" t="s">
        <v>561</v>
      </c>
    </row>
    <row r="24" spans="1:20" x14ac:dyDescent="0.3">
      <c r="A24">
        <v>1451620686</v>
      </c>
      <c r="B24" t="s">
        <v>95</v>
      </c>
      <c r="C24" t="s">
        <v>96</v>
      </c>
      <c r="D24" t="s">
        <v>154</v>
      </c>
      <c r="E24">
        <v>100</v>
      </c>
      <c r="F24">
        <v>350</v>
      </c>
      <c r="G24">
        <v>80</v>
      </c>
      <c r="H24" t="s">
        <v>196</v>
      </c>
      <c r="I24">
        <v>500</v>
      </c>
      <c r="J24" t="s">
        <v>197</v>
      </c>
      <c r="K24">
        <v>17028973</v>
      </c>
      <c r="L24">
        <v>92843</v>
      </c>
      <c r="M24" t="s">
        <v>216</v>
      </c>
      <c r="N24">
        <v>358633050</v>
      </c>
      <c r="O24">
        <v>23</v>
      </c>
      <c r="P24" t="s">
        <v>567</v>
      </c>
      <c r="Q24" t="s">
        <v>567</v>
      </c>
      <c r="R24" t="s">
        <v>199</v>
      </c>
      <c r="S24">
        <v>1908739188</v>
      </c>
      <c r="T24" t="s">
        <v>561</v>
      </c>
    </row>
    <row r="25" spans="1:20" x14ac:dyDescent="0.3">
      <c r="A25">
        <v>1451636017</v>
      </c>
      <c r="B25" t="s">
        <v>97</v>
      </c>
      <c r="C25" t="s">
        <v>98</v>
      </c>
      <c r="D25" t="s">
        <v>155</v>
      </c>
      <c r="E25">
        <v>100</v>
      </c>
      <c r="F25">
        <v>130</v>
      </c>
      <c r="G25">
        <v>80</v>
      </c>
      <c r="H25" t="s">
        <v>196</v>
      </c>
      <c r="I25">
        <v>250</v>
      </c>
      <c r="J25" t="s">
        <v>197</v>
      </c>
      <c r="K25">
        <v>17028973</v>
      </c>
      <c r="L25">
        <v>92843</v>
      </c>
      <c r="M25" t="s">
        <v>217</v>
      </c>
      <c r="N25">
        <v>358633050</v>
      </c>
      <c r="O25">
        <v>23</v>
      </c>
      <c r="P25" t="s">
        <v>567</v>
      </c>
      <c r="Q25" t="s">
        <v>567</v>
      </c>
      <c r="R25" t="s">
        <v>199</v>
      </c>
      <c r="S25">
        <v>1908733235</v>
      </c>
      <c r="T25" t="s">
        <v>561</v>
      </c>
    </row>
    <row r="26" spans="1:20" x14ac:dyDescent="0.3">
      <c r="A26">
        <v>1451653112</v>
      </c>
      <c r="B26" t="s">
        <v>99</v>
      </c>
      <c r="C26" t="s">
        <v>100</v>
      </c>
      <c r="D26" t="s">
        <v>156</v>
      </c>
      <c r="E26">
        <v>100</v>
      </c>
      <c r="F26">
        <v>250</v>
      </c>
      <c r="G26">
        <v>80</v>
      </c>
      <c r="H26" t="s">
        <v>196</v>
      </c>
      <c r="I26">
        <v>250</v>
      </c>
      <c r="J26" t="s">
        <v>197</v>
      </c>
      <c r="K26">
        <v>17028973</v>
      </c>
      <c r="L26">
        <v>92843</v>
      </c>
      <c r="M26" t="s">
        <v>218</v>
      </c>
      <c r="N26">
        <v>358633050</v>
      </c>
      <c r="O26">
        <v>23</v>
      </c>
      <c r="P26" t="s">
        <v>567</v>
      </c>
      <c r="Q26" t="s">
        <v>567</v>
      </c>
      <c r="R26" t="s">
        <v>199</v>
      </c>
      <c r="S26">
        <v>1908752585</v>
      </c>
      <c r="T26" t="s">
        <v>561</v>
      </c>
    </row>
    <row r="27" spans="1:20" x14ac:dyDescent="0.3">
      <c r="A27">
        <v>1451657016</v>
      </c>
      <c r="B27" t="s">
        <v>101</v>
      </c>
      <c r="C27" t="s">
        <v>102</v>
      </c>
      <c r="D27" t="s">
        <v>157</v>
      </c>
      <c r="E27">
        <v>100</v>
      </c>
      <c r="F27">
        <v>130</v>
      </c>
      <c r="G27">
        <v>80</v>
      </c>
      <c r="H27" t="s">
        <v>196</v>
      </c>
      <c r="I27">
        <v>250</v>
      </c>
      <c r="J27" t="s">
        <v>197</v>
      </c>
      <c r="K27">
        <v>17028973</v>
      </c>
      <c r="L27">
        <v>92843</v>
      </c>
      <c r="M27" t="s">
        <v>219</v>
      </c>
      <c r="N27">
        <v>358633050</v>
      </c>
      <c r="O27">
        <v>23</v>
      </c>
      <c r="P27" t="s">
        <v>567</v>
      </c>
      <c r="Q27" t="s">
        <v>567</v>
      </c>
      <c r="R27" t="s">
        <v>199</v>
      </c>
      <c r="S27">
        <v>1908757128</v>
      </c>
      <c r="T27" t="s">
        <v>561</v>
      </c>
    </row>
    <row r="28" spans="1:20" x14ac:dyDescent="0.3">
      <c r="A28">
        <v>1451659950</v>
      </c>
      <c r="B28" t="s">
        <v>103</v>
      </c>
      <c r="C28" t="s">
        <v>104</v>
      </c>
      <c r="D28" t="s">
        <v>158</v>
      </c>
      <c r="E28">
        <v>100</v>
      </c>
      <c r="F28">
        <v>130</v>
      </c>
      <c r="G28">
        <v>80</v>
      </c>
      <c r="H28" t="s">
        <v>196</v>
      </c>
      <c r="I28">
        <v>250</v>
      </c>
      <c r="J28" t="s">
        <v>197</v>
      </c>
      <c r="K28">
        <v>17028973</v>
      </c>
      <c r="L28">
        <v>92843</v>
      </c>
      <c r="M28" t="s">
        <v>220</v>
      </c>
      <c r="N28">
        <v>358633050</v>
      </c>
      <c r="O28">
        <v>23</v>
      </c>
      <c r="P28" t="s">
        <v>567</v>
      </c>
      <c r="Q28" t="s">
        <v>567</v>
      </c>
      <c r="R28" t="s">
        <v>199</v>
      </c>
      <c r="S28">
        <v>1908759150</v>
      </c>
      <c r="T28" t="s">
        <v>561</v>
      </c>
    </row>
    <row r="29" spans="1:20" x14ac:dyDescent="0.3">
      <c r="A29">
        <v>1451679968</v>
      </c>
      <c r="B29" t="s">
        <v>105</v>
      </c>
      <c r="C29" t="s">
        <v>106</v>
      </c>
      <c r="D29" t="s">
        <v>159</v>
      </c>
      <c r="E29">
        <v>100</v>
      </c>
      <c r="F29">
        <v>250</v>
      </c>
      <c r="G29">
        <v>80</v>
      </c>
      <c r="H29" t="s">
        <v>196</v>
      </c>
      <c r="I29">
        <v>250</v>
      </c>
      <c r="J29" t="s">
        <v>197</v>
      </c>
      <c r="K29">
        <v>17028973</v>
      </c>
      <c r="L29">
        <v>92843</v>
      </c>
      <c r="M29" t="s">
        <v>221</v>
      </c>
      <c r="N29">
        <v>358633050</v>
      </c>
      <c r="O29">
        <v>23</v>
      </c>
      <c r="P29" t="s">
        <v>567</v>
      </c>
      <c r="Q29" t="s">
        <v>567</v>
      </c>
      <c r="R29" t="s">
        <v>199</v>
      </c>
      <c r="S29">
        <v>1908768488</v>
      </c>
      <c r="T29" t="s">
        <v>561</v>
      </c>
    </row>
    <row r="30" spans="1:20" x14ac:dyDescent="0.3">
      <c r="A30">
        <v>1451684497</v>
      </c>
      <c r="B30" t="s">
        <v>107</v>
      </c>
      <c r="C30" t="s">
        <v>108</v>
      </c>
      <c r="D30" t="s">
        <v>160</v>
      </c>
      <c r="E30">
        <v>100</v>
      </c>
      <c r="F30">
        <v>250</v>
      </c>
      <c r="G30">
        <v>80</v>
      </c>
      <c r="H30" t="s">
        <v>196</v>
      </c>
      <c r="I30">
        <v>250</v>
      </c>
      <c r="J30" t="s">
        <v>197</v>
      </c>
      <c r="K30">
        <v>17028973</v>
      </c>
      <c r="L30">
        <v>92843</v>
      </c>
      <c r="M30" t="s">
        <v>222</v>
      </c>
      <c r="N30">
        <v>358633050</v>
      </c>
      <c r="O30">
        <v>23</v>
      </c>
      <c r="P30" t="s">
        <v>567</v>
      </c>
      <c r="Q30" t="s">
        <v>567</v>
      </c>
      <c r="R30" t="s">
        <v>199</v>
      </c>
      <c r="S30">
        <v>1908772684</v>
      </c>
      <c r="T30" t="s">
        <v>561</v>
      </c>
    </row>
    <row r="31" spans="1:20" x14ac:dyDescent="0.3">
      <c r="A31">
        <v>1516774354</v>
      </c>
      <c r="B31" t="s">
        <v>112</v>
      </c>
      <c r="C31" t="s">
        <v>113</v>
      </c>
      <c r="D31" t="s">
        <v>161</v>
      </c>
      <c r="E31">
        <v>50</v>
      </c>
      <c r="F31">
        <v>140</v>
      </c>
      <c r="G31">
        <v>120</v>
      </c>
      <c r="H31" t="s">
        <v>196</v>
      </c>
      <c r="I31">
        <v>250</v>
      </c>
      <c r="J31" t="s">
        <v>197</v>
      </c>
      <c r="K31">
        <v>17028649</v>
      </c>
      <c r="L31">
        <v>95272</v>
      </c>
      <c r="M31" t="s">
        <v>223</v>
      </c>
      <c r="N31">
        <v>49816357</v>
      </c>
      <c r="O31">
        <v>5</v>
      </c>
      <c r="P31" t="s">
        <v>567</v>
      </c>
      <c r="Q31" t="s">
        <v>567</v>
      </c>
      <c r="R31" t="s">
        <v>199</v>
      </c>
      <c r="S31">
        <v>1956886811</v>
      </c>
      <c r="T31" t="s">
        <v>561</v>
      </c>
    </row>
    <row r="32" spans="1:20" x14ac:dyDescent="0.3">
      <c r="A32">
        <v>1516776931</v>
      </c>
      <c r="B32" t="s">
        <v>114</v>
      </c>
      <c r="C32" t="s">
        <v>115</v>
      </c>
      <c r="D32" t="s">
        <v>162</v>
      </c>
      <c r="E32">
        <v>50</v>
      </c>
      <c r="F32">
        <v>140</v>
      </c>
      <c r="G32">
        <v>120</v>
      </c>
      <c r="H32" t="s">
        <v>196</v>
      </c>
      <c r="I32">
        <v>250</v>
      </c>
      <c r="J32" t="s">
        <v>197</v>
      </c>
      <c r="K32">
        <v>17028649</v>
      </c>
      <c r="L32">
        <v>95272</v>
      </c>
      <c r="M32" t="s">
        <v>224</v>
      </c>
      <c r="N32">
        <v>49816357</v>
      </c>
      <c r="O32">
        <v>5</v>
      </c>
      <c r="P32" t="s">
        <v>567</v>
      </c>
      <c r="Q32" t="s">
        <v>567</v>
      </c>
      <c r="R32" t="s">
        <v>199</v>
      </c>
      <c r="S32">
        <v>1956886591</v>
      </c>
      <c r="T32" t="s">
        <v>561</v>
      </c>
    </row>
    <row r="33" spans="1:20" x14ac:dyDescent="0.3">
      <c r="A33">
        <v>1516778406</v>
      </c>
      <c r="B33" t="s">
        <v>116</v>
      </c>
      <c r="C33" t="s">
        <v>117</v>
      </c>
      <c r="D33" t="s">
        <v>163</v>
      </c>
      <c r="E33">
        <v>50</v>
      </c>
      <c r="F33">
        <v>140</v>
      </c>
      <c r="G33">
        <v>120</v>
      </c>
      <c r="H33" t="s">
        <v>196</v>
      </c>
      <c r="I33">
        <v>250</v>
      </c>
      <c r="J33" t="s">
        <v>197</v>
      </c>
      <c r="K33">
        <v>17028649</v>
      </c>
      <c r="L33">
        <v>95272</v>
      </c>
      <c r="M33" t="s">
        <v>225</v>
      </c>
      <c r="N33">
        <v>49816357</v>
      </c>
      <c r="O33">
        <v>5</v>
      </c>
      <c r="P33" t="s">
        <v>567</v>
      </c>
      <c r="Q33" t="s">
        <v>567</v>
      </c>
      <c r="R33" t="s">
        <v>199</v>
      </c>
      <c r="S33">
        <v>1956876941</v>
      </c>
      <c r="T33" t="s">
        <v>561</v>
      </c>
    </row>
    <row r="34" spans="1:20" x14ac:dyDescent="0.3">
      <c r="A34">
        <v>1516819874</v>
      </c>
      <c r="B34" t="s">
        <v>118</v>
      </c>
      <c r="C34" t="s">
        <v>628</v>
      </c>
      <c r="D34" t="s">
        <v>594</v>
      </c>
      <c r="E34">
        <v>100</v>
      </c>
      <c r="F34">
        <v>500</v>
      </c>
      <c r="G34">
        <v>420</v>
      </c>
      <c r="H34" t="s">
        <v>196</v>
      </c>
      <c r="I34">
        <v>1750</v>
      </c>
      <c r="J34" t="s">
        <v>197</v>
      </c>
      <c r="K34">
        <v>17028973</v>
      </c>
      <c r="L34">
        <v>92843</v>
      </c>
      <c r="M34" t="s">
        <v>595</v>
      </c>
      <c r="N34">
        <v>107961920</v>
      </c>
      <c r="O34">
        <v>4</v>
      </c>
      <c r="P34" t="s">
        <v>567</v>
      </c>
      <c r="Q34" t="s">
        <v>567</v>
      </c>
      <c r="R34" t="s">
        <v>596</v>
      </c>
      <c r="S34">
        <v>1956897653</v>
      </c>
      <c r="T34" t="s">
        <v>561</v>
      </c>
    </row>
    <row r="35" spans="1:20" x14ac:dyDescent="0.3">
      <c r="A35">
        <v>1516982514</v>
      </c>
      <c r="B35" t="s">
        <v>120</v>
      </c>
      <c r="C35" t="s">
        <v>634</v>
      </c>
      <c r="D35" t="s">
        <v>597</v>
      </c>
      <c r="E35">
        <v>100</v>
      </c>
      <c r="F35">
        <v>505</v>
      </c>
      <c r="G35">
        <v>270</v>
      </c>
      <c r="H35" t="s">
        <v>196</v>
      </c>
      <c r="I35">
        <v>1200</v>
      </c>
      <c r="J35" t="s">
        <v>197</v>
      </c>
      <c r="K35">
        <v>17028973</v>
      </c>
      <c r="L35">
        <v>92843</v>
      </c>
      <c r="M35" t="s">
        <v>595</v>
      </c>
      <c r="N35">
        <v>107961920</v>
      </c>
      <c r="O35">
        <v>4</v>
      </c>
      <c r="P35" t="s">
        <v>567</v>
      </c>
      <c r="Q35" t="s">
        <v>567</v>
      </c>
      <c r="R35" t="s">
        <v>598</v>
      </c>
      <c r="S35">
        <v>1957023701</v>
      </c>
      <c r="T35" t="s">
        <v>561</v>
      </c>
    </row>
    <row r="36" spans="1:20" x14ac:dyDescent="0.3">
      <c r="A36">
        <v>1594477498</v>
      </c>
      <c r="B36" t="s">
        <v>122</v>
      </c>
      <c r="C36" t="s">
        <v>626</v>
      </c>
      <c r="D36" t="s">
        <v>599</v>
      </c>
      <c r="E36">
        <v>100</v>
      </c>
      <c r="F36">
        <v>470</v>
      </c>
      <c r="G36">
        <v>400</v>
      </c>
      <c r="H36" t="s">
        <v>196</v>
      </c>
      <c r="I36">
        <v>1500</v>
      </c>
      <c r="J36" t="s">
        <v>197</v>
      </c>
      <c r="K36">
        <v>17028973</v>
      </c>
      <c r="L36">
        <v>92843</v>
      </c>
      <c r="M36" t="s">
        <v>595</v>
      </c>
      <c r="N36">
        <v>107961920</v>
      </c>
      <c r="O36">
        <v>4</v>
      </c>
      <c r="P36" t="s">
        <v>567</v>
      </c>
      <c r="Q36" t="s">
        <v>567</v>
      </c>
      <c r="R36" t="s">
        <v>600</v>
      </c>
      <c r="S36">
        <v>2013628115</v>
      </c>
      <c r="T36" t="s">
        <v>561</v>
      </c>
    </row>
    <row r="37" spans="1:20" x14ac:dyDescent="0.3">
      <c r="A37">
        <v>1748320470</v>
      </c>
      <c r="B37" t="s">
        <v>227</v>
      </c>
      <c r="C37" t="s">
        <v>228</v>
      </c>
      <c r="D37" t="s">
        <v>164</v>
      </c>
      <c r="E37">
        <v>42</v>
      </c>
      <c r="F37">
        <v>240</v>
      </c>
      <c r="G37">
        <v>104</v>
      </c>
      <c r="H37" t="s">
        <v>196</v>
      </c>
      <c r="I37">
        <v>220</v>
      </c>
      <c r="J37" t="s">
        <v>197</v>
      </c>
      <c r="K37">
        <v>17028973</v>
      </c>
      <c r="L37">
        <v>92843</v>
      </c>
      <c r="M37" t="s">
        <v>476</v>
      </c>
      <c r="N37">
        <v>633768210</v>
      </c>
      <c r="O37">
        <v>10</v>
      </c>
      <c r="P37" t="s">
        <v>567</v>
      </c>
      <c r="Q37" t="s">
        <v>567</v>
      </c>
      <c r="R37" t="s">
        <v>477</v>
      </c>
      <c r="S37">
        <v>2121361632</v>
      </c>
      <c r="T37" t="s">
        <v>561</v>
      </c>
    </row>
    <row r="38" spans="1:20" x14ac:dyDescent="0.3">
      <c r="A38">
        <v>1748320471</v>
      </c>
      <c r="B38" t="s">
        <v>229</v>
      </c>
      <c r="C38" t="s">
        <v>230</v>
      </c>
      <c r="D38" t="s">
        <v>165</v>
      </c>
      <c r="E38">
        <v>42</v>
      </c>
      <c r="F38">
        <v>240</v>
      </c>
      <c r="G38">
        <v>104</v>
      </c>
      <c r="H38" t="s">
        <v>196</v>
      </c>
      <c r="I38">
        <v>220</v>
      </c>
      <c r="J38" t="s">
        <v>197</v>
      </c>
      <c r="K38">
        <v>17028973</v>
      </c>
      <c r="L38">
        <v>92843</v>
      </c>
      <c r="M38" t="s">
        <v>478</v>
      </c>
      <c r="N38">
        <v>633768210</v>
      </c>
      <c r="O38">
        <v>10</v>
      </c>
      <c r="P38" t="s">
        <v>567</v>
      </c>
      <c r="Q38" t="s">
        <v>567</v>
      </c>
      <c r="R38" t="s">
        <v>479</v>
      </c>
      <c r="S38">
        <v>2121361425</v>
      </c>
      <c r="T38" t="s">
        <v>561</v>
      </c>
    </row>
    <row r="39" spans="1:20" x14ac:dyDescent="0.3">
      <c r="A39">
        <v>1748320472</v>
      </c>
      <c r="B39" t="s">
        <v>231</v>
      </c>
      <c r="C39" t="s">
        <v>232</v>
      </c>
      <c r="D39" t="s">
        <v>166</v>
      </c>
      <c r="E39">
        <v>60</v>
      </c>
      <c r="F39">
        <v>240</v>
      </c>
      <c r="G39">
        <v>104</v>
      </c>
      <c r="H39" t="s">
        <v>196</v>
      </c>
      <c r="I39">
        <v>220</v>
      </c>
      <c r="J39" t="s">
        <v>197</v>
      </c>
      <c r="K39">
        <v>17028973</v>
      </c>
      <c r="L39">
        <v>92843</v>
      </c>
      <c r="M39" t="s">
        <v>480</v>
      </c>
      <c r="N39">
        <v>633768210</v>
      </c>
      <c r="O39">
        <v>10</v>
      </c>
      <c r="P39" t="s">
        <v>567</v>
      </c>
      <c r="Q39" t="s">
        <v>567</v>
      </c>
      <c r="R39" t="s">
        <v>480</v>
      </c>
      <c r="S39">
        <v>2121361578</v>
      </c>
      <c r="T39" t="s">
        <v>561</v>
      </c>
    </row>
    <row r="40" spans="1:20" x14ac:dyDescent="0.3">
      <c r="A40">
        <v>1748320473</v>
      </c>
      <c r="B40" t="s">
        <v>233</v>
      </c>
      <c r="C40" t="s">
        <v>234</v>
      </c>
      <c r="D40" t="s">
        <v>167</v>
      </c>
      <c r="E40">
        <v>42</v>
      </c>
      <c r="F40">
        <v>240</v>
      </c>
      <c r="G40">
        <v>104</v>
      </c>
      <c r="H40" t="s">
        <v>196</v>
      </c>
      <c r="I40">
        <v>220</v>
      </c>
      <c r="J40" t="s">
        <v>197</v>
      </c>
      <c r="K40">
        <v>17028973</v>
      </c>
      <c r="L40">
        <v>92843</v>
      </c>
      <c r="M40" t="s">
        <v>481</v>
      </c>
      <c r="N40">
        <v>633768210</v>
      </c>
      <c r="O40">
        <v>10</v>
      </c>
      <c r="P40" t="s">
        <v>567</v>
      </c>
      <c r="Q40" t="s">
        <v>567</v>
      </c>
      <c r="R40" t="s">
        <v>482</v>
      </c>
      <c r="S40">
        <v>2121361335</v>
      </c>
      <c r="T40" t="s">
        <v>561</v>
      </c>
    </row>
    <row r="41" spans="1:20" x14ac:dyDescent="0.3">
      <c r="A41">
        <v>1748320474</v>
      </c>
      <c r="B41" t="s">
        <v>235</v>
      </c>
      <c r="C41" t="s">
        <v>236</v>
      </c>
      <c r="D41" t="s">
        <v>168</v>
      </c>
      <c r="E41">
        <v>60</v>
      </c>
      <c r="F41">
        <v>240</v>
      </c>
      <c r="G41">
        <v>104</v>
      </c>
      <c r="H41" t="s">
        <v>196</v>
      </c>
      <c r="I41">
        <v>220</v>
      </c>
      <c r="J41" t="s">
        <v>197</v>
      </c>
      <c r="K41">
        <v>17028973</v>
      </c>
      <c r="L41">
        <v>92843</v>
      </c>
      <c r="M41" t="s">
        <v>363</v>
      </c>
      <c r="N41">
        <v>633768210</v>
      </c>
      <c r="O41">
        <v>10</v>
      </c>
      <c r="P41" t="s">
        <v>567</v>
      </c>
      <c r="Q41" t="s">
        <v>567</v>
      </c>
      <c r="R41" t="s">
        <v>363</v>
      </c>
      <c r="S41">
        <v>2121361404</v>
      </c>
      <c r="T41" t="s">
        <v>561</v>
      </c>
    </row>
    <row r="42" spans="1:20" x14ac:dyDescent="0.3">
      <c r="A42">
        <v>1748320477</v>
      </c>
      <c r="B42" t="s">
        <v>237</v>
      </c>
      <c r="C42" t="s">
        <v>238</v>
      </c>
      <c r="D42" t="s">
        <v>169</v>
      </c>
      <c r="E42">
        <v>60</v>
      </c>
      <c r="F42">
        <v>232</v>
      </c>
      <c r="G42">
        <v>168</v>
      </c>
      <c r="H42" t="s">
        <v>196</v>
      </c>
      <c r="I42">
        <v>220</v>
      </c>
      <c r="J42" t="s">
        <v>197</v>
      </c>
      <c r="K42">
        <v>17028973</v>
      </c>
      <c r="L42">
        <v>92843</v>
      </c>
      <c r="M42" t="s">
        <v>483</v>
      </c>
      <c r="N42">
        <v>633768210</v>
      </c>
      <c r="O42">
        <v>10</v>
      </c>
      <c r="P42" t="s">
        <v>567</v>
      </c>
      <c r="Q42" t="s">
        <v>567</v>
      </c>
      <c r="R42" t="s">
        <v>483</v>
      </c>
      <c r="S42">
        <v>2121361302</v>
      </c>
      <c r="T42" t="s">
        <v>561</v>
      </c>
    </row>
    <row r="43" spans="1:20" x14ac:dyDescent="0.3">
      <c r="A43">
        <v>1748320481</v>
      </c>
      <c r="B43" t="s">
        <v>239</v>
      </c>
      <c r="C43" t="s">
        <v>240</v>
      </c>
      <c r="D43" t="s">
        <v>170</v>
      </c>
      <c r="E43">
        <v>60</v>
      </c>
      <c r="F43">
        <v>232</v>
      </c>
      <c r="G43">
        <v>168</v>
      </c>
      <c r="H43" t="s">
        <v>196</v>
      </c>
      <c r="I43">
        <v>220</v>
      </c>
      <c r="J43" t="s">
        <v>197</v>
      </c>
      <c r="K43">
        <v>17028973</v>
      </c>
      <c r="L43">
        <v>92843</v>
      </c>
      <c r="M43" t="s">
        <v>364</v>
      </c>
      <c r="N43">
        <v>633768210</v>
      </c>
      <c r="O43">
        <v>10</v>
      </c>
      <c r="P43" t="s">
        <v>567</v>
      </c>
      <c r="Q43" t="s">
        <v>567</v>
      </c>
      <c r="R43" t="s">
        <v>364</v>
      </c>
      <c r="S43">
        <v>2121361499</v>
      </c>
      <c r="T43" t="s">
        <v>561</v>
      </c>
    </row>
    <row r="44" spans="1:20" x14ac:dyDescent="0.3">
      <c r="A44">
        <v>1748320486</v>
      </c>
      <c r="B44" t="s">
        <v>241</v>
      </c>
      <c r="C44" t="s">
        <v>242</v>
      </c>
      <c r="D44" t="s">
        <v>171</v>
      </c>
      <c r="E44">
        <v>60</v>
      </c>
      <c r="F44">
        <v>240</v>
      </c>
      <c r="G44">
        <v>104</v>
      </c>
      <c r="H44" t="s">
        <v>196</v>
      </c>
      <c r="I44">
        <v>220</v>
      </c>
      <c r="J44" t="s">
        <v>197</v>
      </c>
      <c r="K44">
        <v>17028973</v>
      </c>
      <c r="L44">
        <v>92843</v>
      </c>
      <c r="M44" t="s">
        <v>365</v>
      </c>
      <c r="N44">
        <v>633768210</v>
      </c>
      <c r="O44">
        <v>10</v>
      </c>
      <c r="P44" t="s">
        <v>567</v>
      </c>
      <c r="Q44" t="s">
        <v>567</v>
      </c>
      <c r="R44" t="s">
        <v>365</v>
      </c>
      <c r="S44">
        <v>2121361426</v>
      </c>
      <c r="T44" t="s">
        <v>561</v>
      </c>
    </row>
    <row r="45" spans="1:20" x14ac:dyDescent="0.3">
      <c r="A45">
        <v>1748320488</v>
      </c>
      <c r="B45" t="s">
        <v>243</v>
      </c>
      <c r="C45" t="s">
        <v>244</v>
      </c>
      <c r="D45" t="s">
        <v>172</v>
      </c>
      <c r="E45">
        <v>60</v>
      </c>
      <c r="F45">
        <v>240</v>
      </c>
      <c r="G45">
        <v>104</v>
      </c>
      <c r="H45" t="s">
        <v>196</v>
      </c>
      <c r="I45">
        <v>220</v>
      </c>
      <c r="J45" t="s">
        <v>197</v>
      </c>
      <c r="K45">
        <v>17028973</v>
      </c>
      <c r="L45">
        <v>92843</v>
      </c>
      <c r="M45" t="s">
        <v>366</v>
      </c>
      <c r="N45">
        <v>633768210</v>
      </c>
      <c r="O45">
        <v>10</v>
      </c>
      <c r="P45" t="s">
        <v>567</v>
      </c>
      <c r="Q45" t="s">
        <v>567</v>
      </c>
      <c r="R45" t="s">
        <v>366</v>
      </c>
      <c r="S45">
        <v>2121361341</v>
      </c>
      <c r="T45" t="s">
        <v>561</v>
      </c>
    </row>
    <row r="46" spans="1:20" x14ac:dyDescent="0.3">
      <c r="A46">
        <v>1748320498</v>
      </c>
      <c r="B46" t="s">
        <v>245</v>
      </c>
      <c r="C46" t="s">
        <v>246</v>
      </c>
      <c r="D46" t="s">
        <v>173</v>
      </c>
      <c r="E46">
        <v>60</v>
      </c>
      <c r="F46">
        <v>232</v>
      </c>
      <c r="G46">
        <v>168</v>
      </c>
      <c r="H46" t="s">
        <v>196</v>
      </c>
      <c r="I46">
        <v>220</v>
      </c>
      <c r="J46" t="s">
        <v>197</v>
      </c>
      <c r="K46">
        <v>17028973</v>
      </c>
      <c r="L46">
        <v>92843</v>
      </c>
      <c r="M46" t="s">
        <v>484</v>
      </c>
      <c r="N46">
        <v>633768210</v>
      </c>
      <c r="O46">
        <v>10</v>
      </c>
      <c r="P46" t="s">
        <v>567</v>
      </c>
      <c r="Q46" t="s">
        <v>567</v>
      </c>
      <c r="R46" t="s">
        <v>484</v>
      </c>
      <c r="S46">
        <v>2121361322</v>
      </c>
      <c r="T46" t="s">
        <v>561</v>
      </c>
    </row>
    <row r="47" spans="1:20" x14ac:dyDescent="0.3">
      <c r="A47">
        <v>1756763528</v>
      </c>
      <c r="B47" t="s">
        <v>247</v>
      </c>
      <c r="C47" t="s">
        <v>403</v>
      </c>
      <c r="D47" t="s">
        <v>174</v>
      </c>
      <c r="E47">
        <v>90</v>
      </c>
      <c r="F47">
        <v>300</v>
      </c>
      <c r="G47">
        <v>80</v>
      </c>
      <c r="H47" t="s">
        <v>196</v>
      </c>
      <c r="I47">
        <v>400</v>
      </c>
      <c r="J47" t="s">
        <v>197</v>
      </c>
      <c r="K47">
        <v>17028973</v>
      </c>
      <c r="L47">
        <v>92843</v>
      </c>
      <c r="M47" t="s">
        <v>404</v>
      </c>
      <c r="N47">
        <v>623372162</v>
      </c>
      <c r="O47">
        <v>10</v>
      </c>
      <c r="P47" t="s">
        <v>567</v>
      </c>
      <c r="Q47" t="s">
        <v>567</v>
      </c>
      <c r="R47" t="s">
        <v>404</v>
      </c>
      <c r="S47">
        <v>2127615040</v>
      </c>
      <c r="T47" t="s">
        <v>561</v>
      </c>
    </row>
    <row r="48" spans="1:20" x14ac:dyDescent="0.3">
      <c r="A48">
        <v>1756847793</v>
      </c>
      <c r="B48" t="s">
        <v>248</v>
      </c>
      <c r="C48" t="s">
        <v>405</v>
      </c>
      <c r="D48" t="s">
        <v>175</v>
      </c>
      <c r="E48">
        <v>90</v>
      </c>
      <c r="F48">
        <v>300</v>
      </c>
      <c r="G48">
        <v>80</v>
      </c>
      <c r="H48" t="s">
        <v>196</v>
      </c>
      <c r="I48">
        <v>400</v>
      </c>
      <c r="J48" t="s">
        <v>197</v>
      </c>
      <c r="K48">
        <v>17028973</v>
      </c>
      <c r="L48">
        <v>92843</v>
      </c>
      <c r="M48" t="s">
        <v>406</v>
      </c>
      <c r="N48">
        <v>623372162</v>
      </c>
      <c r="O48">
        <v>10</v>
      </c>
      <c r="P48" t="s">
        <v>567</v>
      </c>
      <c r="Q48" t="s">
        <v>567</v>
      </c>
      <c r="R48" t="s">
        <v>407</v>
      </c>
      <c r="S48">
        <v>2127675319</v>
      </c>
      <c r="T48" t="s">
        <v>561</v>
      </c>
    </row>
    <row r="49" spans="1:20" x14ac:dyDescent="0.3">
      <c r="A49">
        <v>1756928635</v>
      </c>
      <c r="B49" t="s">
        <v>249</v>
      </c>
      <c r="C49" t="s">
        <v>408</v>
      </c>
      <c r="D49" t="s">
        <v>176</v>
      </c>
      <c r="E49">
        <v>90</v>
      </c>
      <c r="F49">
        <v>300</v>
      </c>
      <c r="G49">
        <v>80</v>
      </c>
      <c r="H49" t="s">
        <v>196</v>
      </c>
      <c r="I49">
        <v>400</v>
      </c>
      <c r="J49" t="s">
        <v>197</v>
      </c>
      <c r="K49">
        <v>17028973</v>
      </c>
      <c r="L49">
        <v>92843</v>
      </c>
      <c r="M49" t="s">
        <v>409</v>
      </c>
      <c r="N49">
        <v>623372162</v>
      </c>
      <c r="O49">
        <v>10</v>
      </c>
      <c r="P49" t="s">
        <v>567</v>
      </c>
      <c r="Q49" t="s">
        <v>567</v>
      </c>
      <c r="R49" t="s">
        <v>409</v>
      </c>
      <c r="S49">
        <v>2127742906</v>
      </c>
      <c r="T49" t="s">
        <v>561</v>
      </c>
    </row>
    <row r="50" spans="1:20" x14ac:dyDescent="0.3">
      <c r="A50">
        <v>1757198741</v>
      </c>
      <c r="B50" t="s">
        <v>251</v>
      </c>
      <c r="C50" t="s">
        <v>410</v>
      </c>
      <c r="D50" t="s">
        <v>178</v>
      </c>
      <c r="E50">
        <v>60</v>
      </c>
      <c r="F50">
        <v>100</v>
      </c>
      <c r="G50">
        <v>100</v>
      </c>
      <c r="H50" t="s">
        <v>196</v>
      </c>
      <c r="I50">
        <v>80</v>
      </c>
      <c r="J50" t="s">
        <v>197</v>
      </c>
      <c r="K50">
        <v>62573858</v>
      </c>
      <c r="L50">
        <v>92952</v>
      </c>
      <c r="M50" t="s">
        <v>411</v>
      </c>
      <c r="N50">
        <v>93905852</v>
      </c>
      <c r="O50">
        <v>1</v>
      </c>
      <c r="P50" t="s">
        <v>567</v>
      </c>
      <c r="Q50" t="s">
        <v>567</v>
      </c>
      <c r="R50" t="s">
        <v>412</v>
      </c>
      <c r="S50">
        <v>2127954962</v>
      </c>
      <c r="T50" t="s">
        <v>561</v>
      </c>
    </row>
    <row r="51" spans="1:20" x14ac:dyDescent="0.3">
      <c r="A51">
        <v>1758713639</v>
      </c>
      <c r="B51" t="s">
        <v>252</v>
      </c>
      <c r="C51" t="s">
        <v>639</v>
      </c>
      <c r="D51" t="s">
        <v>179</v>
      </c>
      <c r="E51">
        <v>40</v>
      </c>
      <c r="F51">
        <v>100</v>
      </c>
      <c r="G51">
        <v>60</v>
      </c>
      <c r="H51" t="s">
        <v>196</v>
      </c>
      <c r="I51">
        <v>140</v>
      </c>
      <c r="J51" t="s">
        <v>197</v>
      </c>
      <c r="K51">
        <v>17028932</v>
      </c>
      <c r="L51">
        <v>91518</v>
      </c>
      <c r="M51" t="s">
        <v>367</v>
      </c>
      <c r="N51">
        <v>616955978</v>
      </c>
      <c r="O51">
        <v>1</v>
      </c>
      <c r="P51" t="s">
        <v>567</v>
      </c>
      <c r="Q51" t="s">
        <v>567</v>
      </c>
      <c r="R51" t="s">
        <v>199</v>
      </c>
      <c r="S51">
        <v>2129042719</v>
      </c>
      <c r="T51" t="s">
        <v>561</v>
      </c>
    </row>
    <row r="52" spans="1:20" x14ac:dyDescent="0.3">
      <c r="A52">
        <v>1810155919</v>
      </c>
      <c r="B52" t="s">
        <v>360</v>
      </c>
      <c r="C52" t="s">
        <v>361</v>
      </c>
      <c r="D52" t="s">
        <v>359</v>
      </c>
      <c r="E52">
        <v>60</v>
      </c>
      <c r="F52">
        <v>100</v>
      </c>
      <c r="G52">
        <v>100</v>
      </c>
      <c r="H52" t="s">
        <v>196</v>
      </c>
      <c r="I52">
        <v>20</v>
      </c>
      <c r="J52" t="s">
        <v>197</v>
      </c>
      <c r="K52">
        <v>17028973</v>
      </c>
      <c r="L52">
        <v>92843</v>
      </c>
      <c r="M52" t="s">
        <v>362</v>
      </c>
      <c r="N52">
        <v>583828577</v>
      </c>
      <c r="O52">
        <v>1</v>
      </c>
      <c r="P52" t="s">
        <v>567</v>
      </c>
      <c r="Q52" t="s">
        <v>567</v>
      </c>
      <c r="R52" t="s">
        <v>199</v>
      </c>
      <c r="S52">
        <v>2168121577</v>
      </c>
      <c r="T52" t="s">
        <v>561</v>
      </c>
    </row>
    <row r="53" spans="1:20" x14ac:dyDescent="0.3">
      <c r="A53">
        <v>1819225462</v>
      </c>
      <c r="B53" t="s">
        <v>369</v>
      </c>
      <c r="C53" t="s">
        <v>413</v>
      </c>
      <c r="D53" t="s">
        <v>368</v>
      </c>
      <c r="E53">
        <v>600</v>
      </c>
      <c r="F53">
        <v>870</v>
      </c>
      <c r="G53">
        <v>240</v>
      </c>
      <c r="H53" t="s">
        <v>196</v>
      </c>
      <c r="I53">
        <v>16000</v>
      </c>
      <c r="J53" t="s">
        <v>197</v>
      </c>
      <c r="K53">
        <v>17028926</v>
      </c>
      <c r="L53">
        <v>91494</v>
      </c>
      <c r="M53" t="s">
        <v>414</v>
      </c>
      <c r="N53">
        <v>347166279</v>
      </c>
      <c r="O53">
        <v>1</v>
      </c>
      <c r="P53" t="s">
        <v>567</v>
      </c>
      <c r="Q53" t="s">
        <v>567</v>
      </c>
      <c r="R53" t="s">
        <v>199</v>
      </c>
      <c r="S53">
        <v>2175006916</v>
      </c>
      <c r="T53" t="s">
        <v>561</v>
      </c>
    </row>
    <row r="54" spans="1:20" x14ac:dyDescent="0.3">
      <c r="A54">
        <v>1864583210</v>
      </c>
      <c r="B54" t="s">
        <v>371</v>
      </c>
      <c r="C54" t="s">
        <v>372</v>
      </c>
      <c r="D54" t="s">
        <v>370</v>
      </c>
      <c r="E54">
        <v>100</v>
      </c>
      <c r="F54">
        <v>250</v>
      </c>
      <c r="G54">
        <v>80</v>
      </c>
      <c r="H54" t="s">
        <v>196</v>
      </c>
      <c r="I54">
        <v>250</v>
      </c>
      <c r="J54" t="s">
        <v>197</v>
      </c>
      <c r="K54">
        <v>17028973</v>
      </c>
      <c r="L54">
        <v>92843</v>
      </c>
      <c r="M54" t="s">
        <v>415</v>
      </c>
      <c r="N54">
        <v>358633050</v>
      </c>
      <c r="O54">
        <v>23</v>
      </c>
      <c r="P54" t="s">
        <v>567</v>
      </c>
      <c r="Q54" t="s">
        <v>567</v>
      </c>
      <c r="R54" t="s">
        <v>199</v>
      </c>
      <c r="S54">
        <v>2208862746</v>
      </c>
      <c r="T54" t="s">
        <v>561</v>
      </c>
    </row>
    <row r="55" spans="1:20" x14ac:dyDescent="0.3">
      <c r="A55">
        <v>1865416559</v>
      </c>
      <c r="B55" t="s">
        <v>374</v>
      </c>
      <c r="C55" t="s">
        <v>375</v>
      </c>
      <c r="D55" t="s">
        <v>373</v>
      </c>
      <c r="E55">
        <v>10</v>
      </c>
      <c r="F55">
        <v>120</v>
      </c>
      <c r="G55">
        <v>60</v>
      </c>
      <c r="H55" t="s">
        <v>196</v>
      </c>
      <c r="I55">
        <v>23</v>
      </c>
      <c r="J55" t="s">
        <v>197</v>
      </c>
      <c r="K55">
        <v>17028626</v>
      </c>
      <c r="L55">
        <v>91431</v>
      </c>
      <c r="M55" t="s">
        <v>376</v>
      </c>
      <c r="N55">
        <v>159973334</v>
      </c>
      <c r="O55">
        <v>3</v>
      </c>
      <c r="P55" t="s">
        <v>567</v>
      </c>
      <c r="Q55" t="s">
        <v>567</v>
      </c>
      <c r="R55" t="s">
        <v>199</v>
      </c>
      <c r="S55">
        <v>2209447506</v>
      </c>
      <c r="T55" t="s">
        <v>561</v>
      </c>
    </row>
    <row r="56" spans="1:20" x14ac:dyDescent="0.3">
      <c r="A56">
        <v>1865416561</v>
      </c>
      <c r="B56" t="s">
        <v>378</v>
      </c>
      <c r="C56" t="s">
        <v>387</v>
      </c>
      <c r="D56" t="s">
        <v>377</v>
      </c>
      <c r="E56">
        <v>10</v>
      </c>
      <c r="F56">
        <v>120</v>
      </c>
      <c r="G56">
        <v>60</v>
      </c>
      <c r="H56" t="s">
        <v>196</v>
      </c>
      <c r="I56">
        <v>23</v>
      </c>
      <c r="J56" t="s">
        <v>197</v>
      </c>
      <c r="K56">
        <v>17028626</v>
      </c>
      <c r="L56">
        <v>91431</v>
      </c>
      <c r="M56" t="s">
        <v>376</v>
      </c>
      <c r="N56">
        <v>159973334</v>
      </c>
      <c r="O56">
        <v>3</v>
      </c>
      <c r="P56" t="s">
        <v>567</v>
      </c>
      <c r="Q56" t="s">
        <v>567</v>
      </c>
      <c r="R56" t="s">
        <v>199</v>
      </c>
      <c r="S56">
        <v>2209447173</v>
      </c>
      <c r="T56" t="s">
        <v>561</v>
      </c>
    </row>
    <row r="57" spans="1:20" x14ac:dyDescent="0.3">
      <c r="A57">
        <v>1865416599</v>
      </c>
      <c r="B57" t="s">
        <v>380</v>
      </c>
      <c r="C57" t="s">
        <v>388</v>
      </c>
      <c r="D57" t="s">
        <v>379</v>
      </c>
      <c r="E57">
        <v>10</v>
      </c>
      <c r="F57">
        <v>120</v>
      </c>
      <c r="G57">
        <v>60</v>
      </c>
      <c r="H57" t="s">
        <v>196</v>
      </c>
      <c r="I57">
        <v>23</v>
      </c>
      <c r="J57" t="s">
        <v>197</v>
      </c>
      <c r="K57">
        <v>17028626</v>
      </c>
      <c r="L57">
        <v>91431</v>
      </c>
      <c r="M57" t="s">
        <v>376</v>
      </c>
      <c r="N57">
        <v>159973334</v>
      </c>
      <c r="O57">
        <v>3</v>
      </c>
      <c r="P57" t="s">
        <v>567</v>
      </c>
      <c r="Q57" t="s">
        <v>567</v>
      </c>
      <c r="R57" t="s">
        <v>199</v>
      </c>
      <c r="S57">
        <v>2209447473</v>
      </c>
      <c r="T57" t="s">
        <v>561</v>
      </c>
    </row>
    <row r="58" spans="1:20" x14ac:dyDescent="0.3">
      <c r="A58">
        <v>1865557252</v>
      </c>
      <c r="B58" t="s">
        <v>382</v>
      </c>
      <c r="C58" t="s">
        <v>416</v>
      </c>
      <c r="D58" t="s">
        <v>381</v>
      </c>
      <c r="E58">
        <v>10</v>
      </c>
      <c r="F58">
        <v>150</v>
      </c>
      <c r="G58">
        <v>130</v>
      </c>
      <c r="H58" t="s">
        <v>196</v>
      </c>
      <c r="I58">
        <v>100</v>
      </c>
      <c r="J58" t="s">
        <v>197</v>
      </c>
      <c r="K58">
        <v>17028626</v>
      </c>
      <c r="L58">
        <v>97984</v>
      </c>
      <c r="M58" t="s">
        <v>383</v>
      </c>
      <c r="N58">
        <v>595282914</v>
      </c>
      <c r="O58">
        <v>4</v>
      </c>
      <c r="P58" t="s">
        <v>567</v>
      </c>
      <c r="Q58" t="s">
        <v>567</v>
      </c>
      <c r="R58" t="s">
        <v>199</v>
      </c>
      <c r="S58">
        <v>2209541968</v>
      </c>
      <c r="T58" t="s">
        <v>561</v>
      </c>
    </row>
    <row r="59" spans="1:20" x14ac:dyDescent="0.3">
      <c r="A59">
        <v>1865557318</v>
      </c>
      <c r="B59" t="s">
        <v>389</v>
      </c>
      <c r="C59" t="s">
        <v>417</v>
      </c>
      <c r="D59" t="s">
        <v>384</v>
      </c>
      <c r="E59">
        <v>10</v>
      </c>
      <c r="F59">
        <v>150</v>
      </c>
      <c r="G59">
        <v>130</v>
      </c>
      <c r="H59" t="s">
        <v>196</v>
      </c>
      <c r="I59">
        <v>100</v>
      </c>
      <c r="J59" t="s">
        <v>197</v>
      </c>
      <c r="K59">
        <v>17028626</v>
      </c>
      <c r="L59">
        <v>97984</v>
      </c>
      <c r="M59" t="s">
        <v>383</v>
      </c>
      <c r="N59">
        <v>595282914</v>
      </c>
      <c r="O59">
        <v>4</v>
      </c>
      <c r="P59" t="s">
        <v>567</v>
      </c>
      <c r="Q59" t="s">
        <v>567</v>
      </c>
      <c r="R59" t="s">
        <v>199</v>
      </c>
      <c r="S59">
        <v>2209542234</v>
      </c>
      <c r="T59" t="s">
        <v>561</v>
      </c>
    </row>
    <row r="60" spans="1:20" x14ac:dyDescent="0.3">
      <c r="A60">
        <v>1865557347</v>
      </c>
      <c r="B60" t="s">
        <v>390</v>
      </c>
      <c r="C60" t="s">
        <v>418</v>
      </c>
      <c r="D60" t="s">
        <v>385</v>
      </c>
      <c r="E60">
        <v>10</v>
      </c>
      <c r="F60">
        <v>150</v>
      </c>
      <c r="G60">
        <v>130</v>
      </c>
      <c r="H60" t="s">
        <v>196</v>
      </c>
      <c r="I60">
        <v>100</v>
      </c>
      <c r="J60" t="s">
        <v>197</v>
      </c>
      <c r="K60">
        <v>17028626</v>
      </c>
      <c r="L60">
        <v>97984</v>
      </c>
      <c r="M60" t="s">
        <v>383</v>
      </c>
      <c r="N60">
        <v>595282914</v>
      </c>
      <c r="O60">
        <v>4</v>
      </c>
      <c r="P60" t="s">
        <v>567</v>
      </c>
      <c r="Q60" t="s">
        <v>567</v>
      </c>
      <c r="R60" t="s">
        <v>199</v>
      </c>
      <c r="S60">
        <v>2209542245</v>
      </c>
      <c r="T60" t="s">
        <v>561</v>
      </c>
    </row>
    <row r="61" spans="1:20" x14ac:dyDescent="0.3">
      <c r="A61">
        <v>1865557361</v>
      </c>
      <c r="B61" t="s">
        <v>391</v>
      </c>
      <c r="C61" t="s">
        <v>419</v>
      </c>
      <c r="D61" t="s">
        <v>386</v>
      </c>
      <c r="E61">
        <v>10</v>
      </c>
      <c r="F61">
        <v>150</v>
      </c>
      <c r="G61">
        <v>130</v>
      </c>
      <c r="H61" t="s">
        <v>196</v>
      </c>
      <c r="I61">
        <v>100</v>
      </c>
      <c r="J61" t="s">
        <v>197</v>
      </c>
      <c r="K61">
        <v>17028626</v>
      </c>
      <c r="L61">
        <v>97984</v>
      </c>
      <c r="M61" t="s">
        <v>383</v>
      </c>
      <c r="N61">
        <v>595282914</v>
      </c>
      <c r="O61">
        <v>4</v>
      </c>
      <c r="P61" t="s">
        <v>567</v>
      </c>
      <c r="Q61" t="s">
        <v>567</v>
      </c>
      <c r="R61" t="s">
        <v>199</v>
      </c>
      <c r="S61">
        <v>2209542536</v>
      </c>
      <c r="T61" t="s">
        <v>561</v>
      </c>
    </row>
    <row r="62" spans="1:20" x14ac:dyDescent="0.3">
      <c r="A62">
        <v>2237176084</v>
      </c>
      <c r="B62" t="s">
        <v>570</v>
      </c>
      <c r="C62" t="s">
        <v>630</v>
      </c>
      <c r="D62" t="s">
        <v>569</v>
      </c>
      <c r="E62">
        <v>60</v>
      </c>
      <c r="F62">
        <v>240</v>
      </c>
      <c r="G62">
        <v>104</v>
      </c>
      <c r="H62" t="s">
        <v>196</v>
      </c>
      <c r="I62">
        <v>220</v>
      </c>
      <c r="J62" t="s">
        <v>197</v>
      </c>
      <c r="K62">
        <v>17028973</v>
      </c>
      <c r="L62">
        <v>92843</v>
      </c>
      <c r="M62" t="s">
        <v>640</v>
      </c>
      <c r="N62">
        <v>682658330</v>
      </c>
      <c r="O62">
        <v>4</v>
      </c>
      <c r="P62" t="s">
        <v>567</v>
      </c>
      <c r="Q62" t="s">
        <v>567</v>
      </c>
      <c r="R62" t="s">
        <v>641</v>
      </c>
      <c r="S62">
        <v>2491207426</v>
      </c>
      <c r="T62" t="s">
        <v>561</v>
      </c>
    </row>
    <row r="63" spans="1:20" x14ac:dyDescent="0.3">
      <c r="A63">
        <v>2237176090</v>
      </c>
      <c r="B63" t="s">
        <v>573</v>
      </c>
      <c r="C63" t="s">
        <v>627</v>
      </c>
      <c r="D63" t="s">
        <v>572</v>
      </c>
      <c r="E63">
        <v>60</v>
      </c>
      <c r="F63">
        <v>240</v>
      </c>
      <c r="G63">
        <v>104</v>
      </c>
      <c r="H63" t="s">
        <v>196</v>
      </c>
      <c r="I63">
        <v>220</v>
      </c>
      <c r="J63" t="s">
        <v>197</v>
      </c>
      <c r="K63">
        <v>17028973</v>
      </c>
      <c r="L63">
        <v>92843</v>
      </c>
      <c r="M63" t="s">
        <v>642</v>
      </c>
      <c r="N63">
        <v>682658330</v>
      </c>
      <c r="O63">
        <v>4</v>
      </c>
      <c r="P63" t="s">
        <v>567</v>
      </c>
      <c r="Q63" t="s">
        <v>567</v>
      </c>
      <c r="R63" t="s">
        <v>643</v>
      </c>
      <c r="S63">
        <v>2491206925</v>
      </c>
      <c r="T63" t="s">
        <v>561</v>
      </c>
    </row>
    <row r="64" spans="1:20" x14ac:dyDescent="0.3">
      <c r="A64">
        <v>2237176103</v>
      </c>
      <c r="B64" t="s">
        <v>575</v>
      </c>
      <c r="C64" t="s">
        <v>633</v>
      </c>
      <c r="D64" t="s">
        <v>568</v>
      </c>
      <c r="E64">
        <v>60</v>
      </c>
      <c r="F64">
        <v>240</v>
      </c>
      <c r="G64">
        <v>104</v>
      </c>
      <c r="H64" t="s">
        <v>196</v>
      </c>
      <c r="I64">
        <v>220</v>
      </c>
      <c r="J64" t="s">
        <v>197</v>
      </c>
      <c r="K64">
        <v>17028973</v>
      </c>
      <c r="L64">
        <v>92843</v>
      </c>
      <c r="M64" t="s">
        <v>644</v>
      </c>
      <c r="N64">
        <v>682658330</v>
      </c>
      <c r="O64">
        <v>4</v>
      </c>
      <c r="P64" t="s">
        <v>567</v>
      </c>
      <c r="Q64" t="s">
        <v>567</v>
      </c>
      <c r="R64" t="s">
        <v>645</v>
      </c>
      <c r="S64">
        <v>2491206772</v>
      </c>
      <c r="T64" t="s">
        <v>561</v>
      </c>
    </row>
    <row r="65" spans="1:20" x14ac:dyDescent="0.3">
      <c r="A65">
        <v>2237176106</v>
      </c>
      <c r="B65" t="s">
        <v>578</v>
      </c>
      <c r="C65" t="s">
        <v>631</v>
      </c>
      <c r="D65" t="s">
        <v>577</v>
      </c>
      <c r="E65">
        <v>60</v>
      </c>
      <c r="F65">
        <v>240</v>
      </c>
      <c r="G65">
        <v>104</v>
      </c>
      <c r="H65" t="s">
        <v>196</v>
      </c>
      <c r="I65">
        <v>220</v>
      </c>
      <c r="J65" t="s">
        <v>197</v>
      </c>
      <c r="K65">
        <v>17028973</v>
      </c>
      <c r="L65">
        <v>92843</v>
      </c>
      <c r="M65" t="s">
        <v>646</v>
      </c>
      <c r="N65">
        <v>682658330</v>
      </c>
      <c r="O65">
        <v>4</v>
      </c>
      <c r="P65" t="s">
        <v>567</v>
      </c>
      <c r="Q65" t="s">
        <v>567</v>
      </c>
      <c r="R65" t="s">
        <v>647</v>
      </c>
      <c r="S65">
        <v>2491206829</v>
      </c>
      <c r="T65" t="s">
        <v>561</v>
      </c>
    </row>
    <row r="66" spans="1:20" x14ac:dyDescent="0.3">
      <c r="A66">
        <v>2237213099</v>
      </c>
      <c r="B66" t="s">
        <v>582</v>
      </c>
      <c r="C66" t="s">
        <v>583</v>
      </c>
      <c r="D66" t="s">
        <v>581</v>
      </c>
      <c r="E66">
        <v>90</v>
      </c>
      <c r="F66">
        <v>300</v>
      </c>
      <c r="G66">
        <v>80</v>
      </c>
      <c r="H66" t="s">
        <v>196</v>
      </c>
      <c r="I66">
        <v>400</v>
      </c>
      <c r="J66" t="s">
        <v>197</v>
      </c>
      <c r="K66">
        <v>17028973</v>
      </c>
      <c r="L66">
        <v>92843</v>
      </c>
      <c r="M66" t="s">
        <v>648</v>
      </c>
      <c r="N66">
        <v>623372162</v>
      </c>
      <c r="O66">
        <v>10</v>
      </c>
      <c r="P66" t="s">
        <v>567</v>
      </c>
      <c r="Q66" t="s">
        <v>567</v>
      </c>
      <c r="R66" t="s">
        <v>648</v>
      </c>
      <c r="S66">
        <v>2491234814</v>
      </c>
      <c r="T66" t="s">
        <v>561</v>
      </c>
    </row>
    <row r="67" spans="1:20" x14ac:dyDescent="0.3">
      <c r="A67">
        <v>2237282628</v>
      </c>
      <c r="B67" t="s">
        <v>587</v>
      </c>
      <c r="C67" t="s">
        <v>649</v>
      </c>
      <c r="D67" t="s">
        <v>586</v>
      </c>
      <c r="E67">
        <v>60</v>
      </c>
      <c r="F67">
        <v>160</v>
      </c>
      <c r="G67">
        <v>130</v>
      </c>
      <c r="H67" t="s">
        <v>196</v>
      </c>
      <c r="I67">
        <v>400</v>
      </c>
      <c r="J67" t="s">
        <v>197</v>
      </c>
      <c r="K67">
        <v>17029017</v>
      </c>
      <c r="L67">
        <v>91415</v>
      </c>
      <c r="M67" t="s">
        <v>650</v>
      </c>
      <c r="N67">
        <v>849291333</v>
      </c>
      <c r="O67">
        <v>1</v>
      </c>
      <c r="P67" t="s">
        <v>567</v>
      </c>
      <c r="Q67" t="s">
        <v>567</v>
      </c>
      <c r="R67" t="s">
        <v>199</v>
      </c>
      <c r="S67">
        <v>2491283036</v>
      </c>
      <c r="T67" t="s">
        <v>561</v>
      </c>
    </row>
    <row r="68" spans="1:20" x14ac:dyDescent="0.3">
      <c r="A68">
        <v>2237306482</v>
      </c>
      <c r="B68" t="s">
        <v>604</v>
      </c>
      <c r="C68" t="s">
        <v>651</v>
      </c>
      <c r="D68" t="s">
        <v>603</v>
      </c>
      <c r="E68">
        <v>100</v>
      </c>
      <c r="F68">
        <v>470</v>
      </c>
      <c r="G68">
        <v>400</v>
      </c>
      <c r="H68" t="s">
        <v>196</v>
      </c>
      <c r="I68">
        <v>1050</v>
      </c>
      <c r="J68" t="s">
        <v>197</v>
      </c>
      <c r="K68">
        <v>17028973</v>
      </c>
      <c r="L68">
        <v>92843</v>
      </c>
      <c r="M68" t="s">
        <v>595</v>
      </c>
      <c r="N68">
        <v>107961920</v>
      </c>
      <c r="O68">
        <v>4</v>
      </c>
      <c r="P68" t="s">
        <v>567</v>
      </c>
      <c r="Q68" t="s">
        <v>567</v>
      </c>
      <c r="R68" t="s">
        <v>652</v>
      </c>
      <c r="S68">
        <v>2491298481</v>
      </c>
      <c r="T68" t="s">
        <v>561</v>
      </c>
    </row>
    <row r="69" spans="1:20" x14ac:dyDescent="0.3">
      <c r="A69">
        <v>2237309378</v>
      </c>
      <c r="B69" t="s">
        <v>606</v>
      </c>
      <c r="C69" t="s">
        <v>591</v>
      </c>
      <c r="D69" t="s">
        <v>590</v>
      </c>
      <c r="E69">
        <v>100</v>
      </c>
      <c r="F69">
        <v>500</v>
      </c>
      <c r="G69">
        <v>450</v>
      </c>
      <c r="H69" t="s">
        <v>196</v>
      </c>
      <c r="I69">
        <v>1000</v>
      </c>
      <c r="J69" t="s">
        <v>197</v>
      </c>
      <c r="K69">
        <v>17028973</v>
      </c>
      <c r="L69">
        <v>92843</v>
      </c>
      <c r="M69" t="s">
        <v>226</v>
      </c>
      <c r="N69">
        <v>682733539</v>
      </c>
      <c r="O69">
        <v>1</v>
      </c>
      <c r="P69" t="s">
        <v>567</v>
      </c>
      <c r="Q69" t="s">
        <v>567</v>
      </c>
      <c r="R69" t="s">
        <v>199</v>
      </c>
      <c r="S69">
        <v>2491300389</v>
      </c>
      <c r="T69" t="s">
        <v>561</v>
      </c>
    </row>
    <row r="70" spans="1:20" x14ac:dyDescent="0.3">
      <c r="A70">
        <v>2237311358</v>
      </c>
      <c r="B70" t="s">
        <v>611</v>
      </c>
      <c r="C70" t="s">
        <v>593</v>
      </c>
      <c r="D70" t="s">
        <v>592</v>
      </c>
      <c r="E70">
        <v>100</v>
      </c>
      <c r="F70">
        <v>500</v>
      </c>
      <c r="G70">
        <v>450</v>
      </c>
      <c r="H70" t="s">
        <v>196</v>
      </c>
      <c r="I70">
        <v>1000</v>
      </c>
      <c r="J70" t="s">
        <v>197</v>
      </c>
      <c r="K70">
        <v>17028973</v>
      </c>
      <c r="L70">
        <v>92843</v>
      </c>
      <c r="M70" t="s">
        <v>612</v>
      </c>
      <c r="N70">
        <v>717477349</v>
      </c>
      <c r="O70">
        <v>1</v>
      </c>
      <c r="P70" t="s">
        <v>567</v>
      </c>
      <c r="Q70" t="s">
        <v>567</v>
      </c>
      <c r="R70" t="s">
        <v>199</v>
      </c>
      <c r="S70">
        <v>2576560368</v>
      </c>
      <c r="T70" t="s">
        <v>561</v>
      </c>
    </row>
    <row r="71" spans="1:20" x14ac:dyDescent="0.3">
      <c r="A71">
        <v>843059432</v>
      </c>
      <c r="B71" t="s">
        <v>257</v>
      </c>
      <c r="C71" t="s">
        <v>258</v>
      </c>
      <c r="D71" t="s">
        <v>256</v>
      </c>
      <c r="E71">
        <v>50</v>
      </c>
      <c r="F71">
        <v>140</v>
      </c>
      <c r="G71">
        <v>120</v>
      </c>
      <c r="H71" t="s">
        <v>196</v>
      </c>
      <c r="I71">
        <v>250</v>
      </c>
      <c r="J71" t="s">
        <v>197</v>
      </c>
      <c r="K71">
        <v>17028649</v>
      </c>
      <c r="L71">
        <v>95272</v>
      </c>
      <c r="M71" t="s">
        <v>259</v>
      </c>
      <c r="N71">
        <v>291215577</v>
      </c>
      <c r="O71">
        <v>4</v>
      </c>
      <c r="P71" t="s">
        <v>567</v>
      </c>
      <c r="Q71" t="s">
        <v>567</v>
      </c>
      <c r="R71" t="s">
        <v>199</v>
      </c>
      <c r="S71">
        <v>1394692927</v>
      </c>
      <c r="T71" t="s">
        <v>562</v>
      </c>
    </row>
    <row r="72" spans="1:20" x14ac:dyDescent="0.3">
      <c r="A72">
        <v>843059434</v>
      </c>
      <c r="B72" t="s">
        <v>261</v>
      </c>
      <c r="C72" t="s">
        <v>262</v>
      </c>
      <c r="D72" t="s">
        <v>260</v>
      </c>
      <c r="E72">
        <v>50</v>
      </c>
      <c r="F72">
        <v>140</v>
      </c>
      <c r="G72">
        <v>120</v>
      </c>
      <c r="H72" t="s">
        <v>196</v>
      </c>
      <c r="I72">
        <v>250</v>
      </c>
      <c r="J72" t="s">
        <v>197</v>
      </c>
      <c r="K72">
        <v>17028649</v>
      </c>
      <c r="L72">
        <v>95272</v>
      </c>
      <c r="M72" t="s">
        <v>263</v>
      </c>
      <c r="N72">
        <v>291228104</v>
      </c>
      <c r="O72">
        <v>3</v>
      </c>
      <c r="P72" t="s">
        <v>567</v>
      </c>
      <c r="Q72" t="s">
        <v>567</v>
      </c>
      <c r="R72" t="s">
        <v>199</v>
      </c>
      <c r="S72">
        <v>1394692908</v>
      </c>
      <c r="T72" t="s">
        <v>562</v>
      </c>
    </row>
    <row r="73" spans="1:20" x14ac:dyDescent="0.3">
      <c r="A73">
        <v>843059437</v>
      </c>
      <c r="B73" t="s">
        <v>38</v>
      </c>
      <c r="C73" t="s">
        <v>39</v>
      </c>
      <c r="D73" t="s">
        <v>264</v>
      </c>
      <c r="E73">
        <v>50</v>
      </c>
      <c r="F73">
        <v>140</v>
      </c>
      <c r="G73">
        <v>120</v>
      </c>
      <c r="H73" t="s">
        <v>196</v>
      </c>
      <c r="I73">
        <v>250</v>
      </c>
      <c r="J73" t="s">
        <v>197</v>
      </c>
      <c r="K73">
        <v>17028649</v>
      </c>
      <c r="L73">
        <v>95272</v>
      </c>
      <c r="M73" t="s">
        <v>265</v>
      </c>
      <c r="N73">
        <v>68572613</v>
      </c>
      <c r="O73">
        <v>4</v>
      </c>
      <c r="P73" t="s">
        <v>567</v>
      </c>
      <c r="Q73" t="s">
        <v>567</v>
      </c>
      <c r="R73" t="s">
        <v>199</v>
      </c>
      <c r="S73">
        <v>1394692902</v>
      </c>
      <c r="T73" t="s">
        <v>562</v>
      </c>
    </row>
    <row r="74" spans="1:20" x14ac:dyDescent="0.3">
      <c r="A74">
        <v>843059439</v>
      </c>
      <c r="B74" t="s">
        <v>267</v>
      </c>
      <c r="C74" t="s">
        <v>268</v>
      </c>
      <c r="D74" t="s">
        <v>266</v>
      </c>
      <c r="E74">
        <v>50</v>
      </c>
      <c r="F74">
        <v>140</v>
      </c>
      <c r="G74">
        <v>120</v>
      </c>
      <c r="H74" t="s">
        <v>196</v>
      </c>
      <c r="I74">
        <v>250</v>
      </c>
      <c r="J74" t="s">
        <v>197</v>
      </c>
      <c r="K74">
        <v>17028649</v>
      </c>
      <c r="L74">
        <v>95272</v>
      </c>
      <c r="M74" t="s">
        <v>269</v>
      </c>
      <c r="N74">
        <v>291215577</v>
      </c>
      <c r="O74">
        <v>4</v>
      </c>
      <c r="P74" t="s">
        <v>567</v>
      </c>
      <c r="Q74" t="s">
        <v>567</v>
      </c>
      <c r="R74" t="s">
        <v>199</v>
      </c>
      <c r="S74">
        <v>1394692944</v>
      </c>
      <c r="T74" t="s">
        <v>562</v>
      </c>
    </row>
    <row r="75" spans="1:20" x14ac:dyDescent="0.3">
      <c r="A75">
        <v>843059444</v>
      </c>
      <c r="B75" t="s">
        <v>271</v>
      </c>
      <c r="C75" t="s">
        <v>262</v>
      </c>
      <c r="D75" t="s">
        <v>270</v>
      </c>
      <c r="E75">
        <v>50</v>
      </c>
      <c r="F75">
        <v>140</v>
      </c>
      <c r="G75">
        <v>120</v>
      </c>
      <c r="H75" t="s">
        <v>196</v>
      </c>
      <c r="I75">
        <v>250</v>
      </c>
      <c r="J75" t="s">
        <v>197</v>
      </c>
      <c r="K75">
        <v>17028649</v>
      </c>
      <c r="L75">
        <v>95272</v>
      </c>
      <c r="M75" t="s">
        <v>272</v>
      </c>
      <c r="N75">
        <v>291228104</v>
      </c>
      <c r="O75">
        <v>3</v>
      </c>
      <c r="P75" t="s">
        <v>567</v>
      </c>
      <c r="Q75" t="s">
        <v>567</v>
      </c>
      <c r="R75" t="s">
        <v>199</v>
      </c>
      <c r="S75">
        <v>1394692948</v>
      </c>
      <c r="T75" t="s">
        <v>562</v>
      </c>
    </row>
    <row r="76" spans="1:20" x14ac:dyDescent="0.3">
      <c r="A76">
        <v>843059451</v>
      </c>
      <c r="B76" t="s">
        <v>273</v>
      </c>
      <c r="C76" t="s">
        <v>274</v>
      </c>
      <c r="D76" t="s">
        <v>254</v>
      </c>
      <c r="E76">
        <v>50</v>
      </c>
      <c r="F76">
        <v>140</v>
      </c>
      <c r="G76">
        <v>120</v>
      </c>
      <c r="H76" t="s">
        <v>196</v>
      </c>
      <c r="I76">
        <v>250</v>
      </c>
      <c r="J76" t="s">
        <v>197</v>
      </c>
      <c r="K76">
        <v>17028649</v>
      </c>
      <c r="L76">
        <v>95272</v>
      </c>
      <c r="M76" t="s">
        <v>275</v>
      </c>
      <c r="N76">
        <v>291215577</v>
      </c>
      <c r="O76">
        <v>4</v>
      </c>
      <c r="P76" t="s">
        <v>567</v>
      </c>
      <c r="Q76" t="s">
        <v>567</v>
      </c>
      <c r="R76" t="s">
        <v>199</v>
      </c>
      <c r="S76">
        <v>1394692953</v>
      </c>
      <c r="T76" t="s">
        <v>562</v>
      </c>
    </row>
    <row r="77" spans="1:20" x14ac:dyDescent="0.3">
      <c r="A77">
        <v>843059453</v>
      </c>
      <c r="B77" t="s">
        <v>277</v>
      </c>
      <c r="C77" t="s">
        <v>278</v>
      </c>
      <c r="D77" t="s">
        <v>276</v>
      </c>
      <c r="E77">
        <v>50</v>
      </c>
      <c r="F77">
        <v>110</v>
      </c>
      <c r="G77">
        <v>80</v>
      </c>
      <c r="H77" t="s">
        <v>196</v>
      </c>
      <c r="I77">
        <v>140</v>
      </c>
      <c r="J77" t="s">
        <v>197</v>
      </c>
      <c r="K77">
        <v>17028932</v>
      </c>
      <c r="L77">
        <v>91518</v>
      </c>
      <c r="M77" t="s">
        <v>279</v>
      </c>
      <c r="N77">
        <v>292965062</v>
      </c>
      <c r="O77">
        <v>2</v>
      </c>
      <c r="P77" t="s">
        <v>567</v>
      </c>
      <c r="Q77" t="s">
        <v>567</v>
      </c>
      <c r="R77" t="s">
        <v>199</v>
      </c>
      <c r="S77">
        <v>1394692914</v>
      </c>
      <c r="T77" t="s">
        <v>562</v>
      </c>
    </row>
    <row r="78" spans="1:20" x14ac:dyDescent="0.3">
      <c r="A78">
        <v>843059467</v>
      </c>
      <c r="B78" t="s">
        <v>36</v>
      </c>
      <c r="C78" t="s">
        <v>37</v>
      </c>
      <c r="D78" t="s">
        <v>133</v>
      </c>
      <c r="E78">
        <v>50</v>
      </c>
      <c r="F78">
        <v>140</v>
      </c>
      <c r="G78">
        <v>120</v>
      </c>
      <c r="H78" t="s">
        <v>196</v>
      </c>
      <c r="I78">
        <v>250</v>
      </c>
      <c r="J78" t="s">
        <v>197</v>
      </c>
      <c r="K78">
        <v>17028649</v>
      </c>
      <c r="L78">
        <v>95272</v>
      </c>
      <c r="M78" t="s">
        <v>201</v>
      </c>
      <c r="N78">
        <v>68572613</v>
      </c>
      <c r="O78">
        <v>4</v>
      </c>
      <c r="P78" t="s">
        <v>567</v>
      </c>
      <c r="Q78" t="s">
        <v>567</v>
      </c>
      <c r="R78" t="s">
        <v>199</v>
      </c>
      <c r="S78">
        <v>1394692940</v>
      </c>
      <c r="T78" t="s">
        <v>562</v>
      </c>
    </row>
    <row r="79" spans="1:20" x14ac:dyDescent="0.3">
      <c r="A79">
        <v>843059472</v>
      </c>
      <c r="B79" t="s">
        <v>40</v>
      </c>
      <c r="C79" t="s">
        <v>41</v>
      </c>
      <c r="D79" t="s">
        <v>280</v>
      </c>
      <c r="E79">
        <v>50</v>
      </c>
      <c r="F79">
        <v>140</v>
      </c>
      <c r="G79">
        <v>120</v>
      </c>
      <c r="H79" t="s">
        <v>196</v>
      </c>
      <c r="I79">
        <v>250</v>
      </c>
      <c r="J79" t="s">
        <v>197</v>
      </c>
      <c r="K79">
        <v>17028649</v>
      </c>
      <c r="L79">
        <v>95272</v>
      </c>
      <c r="M79" t="s">
        <v>281</v>
      </c>
      <c r="N79">
        <v>291215577</v>
      </c>
      <c r="O79">
        <v>4</v>
      </c>
      <c r="P79" t="s">
        <v>567</v>
      </c>
      <c r="Q79" t="s">
        <v>567</v>
      </c>
      <c r="R79" t="s">
        <v>199</v>
      </c>
      <c r="S79">
        <v>1394692965</v>
      </c>
      <c r="T79" t="s">
        <v>562</v>
      </c>
    </row>
    <row r="80" spans="1:20" x14ac:dyDescent="0.3">
      <c r="A80">
        <v>843059474</v>
      </c>
      <c r="B80" t="s">
        <v>283</v>
      </c>
      <c r="C80" t="s">
        <v>262</v>
      </c>
      <c r="D80" t="s">
        <v>282</v>
      </c>
      <c r="E80">
        <v>50</v>
      </c>
      <c r="F80">
        <v>140</v>
      </c>
      <c r="G80">
        <v>120</v>
      </c>
      <c r="H80" t="s">
        <v>196</v>
      </c>
      <c r="I80">
        <v>250</v>
      </c>
      <c r="J80" t="s">
        <v>197</v>
      </c>
      <c r="K80">
        <v>17028649</v>
      </c>
      <c r="L80">
        <v>95272</v>
      </c>
      <c r="M80" t="s">
        <v>284</v>
      </c>
      <c r="N80">
        <v>291228104</v>
      </c>
      <c r="O80">
        <v>3</v>
      </c>
      <c r="P80" t="s">
        <v>567</v>
      </c>
      <c r="Q80" t="s">
        <v>567</v>
      </c>
      <c r="R80" t="s">
        <v>199</v>
      </c>
      <c r="S80">
        <v>1394692963</v>
      </c>
      <c r="T80" t="s">
        <v>562</v>
      </c>
    </row>
    <row r="81" spans="1:20" x14ac:dyDescent="0.3">
      <c r="A81">
        <v>843059483</v>
      </c>
      <c r="B81" t="s">
        <v>44</v>
      </c>
      <c r="C81" t="s">
        <v>43</v>
      </c>
      <c r="D81" t="s">
        <v>285</v>
      </c>
      <c r="E81">
        <v>50</v>
      </c>
      <c r="F81">
        <v>140</v>
      </c>
      <c r="G81">
        <v>120</v>
      </c>
      <c r="H81" t="s">
        <v>196</v>
      </c>
      <c r="I81">
        <v>250</v>
      </c>
      <c r="J81" t="s">
        <v>197</v>
      </c>
      <c r="K81">
        <v>17028649</v>
      </c>
      <c r="L81">
        <v>95272</v>
      </c>
      <c r="M81" t="s">
        <v>286</v>
      </c>
      <c r="N81">
        <v>173498234</v>
      </c>
      <c r="O81">
        <v>2</v>
      </c>
      <c r="P81" t="s">
        <v>567</v>
      </c>
      <c r="Q81" t="s">
        <v>567</v>
      </c>
      <c r="R81" t="s">
        <v>199</v>
      </c>
      <c r="S81">
        <v>1394692961</v>
      </c>
      <c r="T81" t="s">
        <v>562</v>
      </c>
    </row>
    <row r="82" spans="1:20" x14ac:dyDescent="0.3">
      <c r="A82">
        <v>843059490</v>
      </c>
      <c r="B82" t="s">
        <v>288</v>
      </c>
      <c r="C82" t="s">
        <v>289</v>
      </c>
      <c r="D82" t="s">
        <v>287</v>
      </c>
      <c r="E82">
        <v>50</v>
      </c>
      <c r="F82">
        <v>110</v>
      </c>
      <c r="G82">
        <v>80</v>
      </c>
      <c r="H82" t="s">
        <v>196</v>
      </c>
      <c r="I82">
        <v>140</v>
      </c>
      <c r="J82" t="s">
        <v>197</v>
      </c>
      <c r="K82">
        <v>17028932</v>
      </c>
      <c r="L82">
        <v>91518</v>
      </c>
      <c r="M82" t="s">
        <v>290</v>
      </c>
      <c r="N82">
        <v>292965062</v>
      </c>
      <c r="O82">
        <v>2</v>
      </c>
      <c r="P82" t="s">
        <v>567</v>
      </c>
      <c r="Q82" t="s">
        <v>567</v>
      </c>
      <c r="R82" t="s">
        <v>199</v>
      </c>
      <c r="S82">
        <v>1394692979</v>
      </c>
      <c r="T82" t="s">
        <v>562</v>
      </c>
    </row>
    <row r="83" spans="1:20" x14ac:dyDescent="0.3">
      <c r="A83">
        <v>843059491</v>
      </c>
      <c r="B83" t="s">
        <v>47</v>
      </c>
      <c r="C83" t="s">
        <v>48</v>
      </c>
      <c r="D83" t="s">
        <v>291</v>
      </c>
      <c r="E83">
        <v>50</v>
      </c>
      <c r="F83">
        <v>140</v>
      </c>
      <c r="G83">
        <v>120</v>
      </c>
      <c r="H83" t="s">
        <v>196</v>
      </c>
      <c r="I83">
        <v>250</v>
      </c>
      <c r="J83" t="s">
        <v>197</v>
      </c>
      <c r="K83">
        <v>17028649</v>
      </c>
      <c r="L83">
        <v>95272</v>
      </c>
      <c r="M83" t="s">
        <v>292</v>
      </c>
      <c r="N83">
        <v>68572613</v>
      </c>
      <c r="O83">
        <v>4</v>
      </c>
      <c r="P83" t="s">
        <v>567</v>
      </c>
      <c r="Q83" t="s">
        <v>567</v>
      </c>
      <c r="R83" t="s">
        <v>199</v>
      </c>
      <c r="S83">
        <v>1394692977</v>
      </c>
      <c r="T83" t="s">
        <v>562</v>
      </c>
    </row>
    <row r="84" spans="1:20" x14ac:dyDescent="0.3">
      <c r="A84">
        <v>843059492</v>
      </c>
      <c r="B84" t="s">
        <v>45</v>
      </c>
      <c r="C84" t="s">
        <v>46</v>
      </c>
      <c r="D84" t="s">
        <v>293</v>
      </c>
      <c r="E84">
        <v>50</v>
      </c>
      <c r="F84">
        <v>140</v>
      </c>
      <c r="G84">
        <v>120</v>
      </c>
      <c r="H84" t="s">
        <v>196</v>
      </c>
      <c r="I84">
        <v>250</v>
      </c>
      <c r="J84" t="s">
        <v>197</v>
      </c>
      <c r="K84">
        <v>17028649</v>
      </c>
      <c r="L84">
        <v>95272</v>
      </c>
      <c r="M84" t="s">
        <v>294</v>
      </c>
      <c r="N84">
        <v>68572613</v>
      </c>
      <c r="O84">
        <v>4</v>
      </c>
      <c r="P84" t="s">
        <v>567</v>
      </c>
      <c r="Q84" t="s">
        <v>567</v>
      </c>
      <c r="R84" t="s">
        <v>199</v>
      </c>
      <c r="S84">
        <v>1394692975</v>
      </c>
      <c r="T84" t="s">
        <v>562</v>
      </c>
    </row>
    <row r="85" spans="1:20" x14ac:dyDescent="0.3">
      <c r="A85">
        <v>843059495</v>
      </c>
      <c r="B85" t="s">
        <v>42</v>
      </c>
      <c r="C85" t="s">
        <v>43</v>
      </c>
      <c r="D85" t="s">
        <v>255</v>
      </c>
      <c r="E85">
        <v>50</v>
      </c>
      <c r="F85">
        <v>140</v>
      </c>
      <c r="G85">
        <v>120</v>
      </c>
      <c r="H85" t="s">
        <v>196</v>
      </c>
      <c r="I85">
        <v>250</v>
      </c>
      <c r="J85" t="s">
        <v>197</v>
      </c>
      <c r="K85">
        <v>17028649</v>
      </c>
      <c r="L85">
        <v>95272</v>
      </c>
      <c r="M85" t="s">
        <v>295</v>
      </c>
      <c r="N85">
        <v>173498234</v>
      </c>
      <c r="O85">
        <v>2</v>
      </c>
      <c r="P85" t="s">
        <v>567</v>
      </c>
      <c r="Q85" t="s">
        <v>567</v>
      </c>
      <c r="R85" t="s">
        <v>199</v>
      </c>
      <c r="S85">
        <v>1394692978</v>
      </c>
      <c r="T85" t="s">
        <v>562</v>
      </c>
    </row>
    <row r="86" spans="1:20" x14ac:dyDescent="0.3">
      <c r="A86">
        <v>857444533</v>
      </c>
      <c r="B86" t="s">
        <v>297</v>
      </c>
      <c r="C86" t="s">
        <v>298</v>
      </c>
      <c r="D86" t="s">
        <v>296</v>
      </c>
      <c r="E86">
        <v>50</v>
      </c>
      <c r="F86">
        <v>150</v>
      </c>
      <c r="G86">
        <v>130</v>
      </c>
      <c r="H86" t="s">
        <v>196</v>
      </c>
      <c r="I86">
        <v>250</v>
      </c>
      <c r="J86" t="s">
        <v>197</v>
      </c>
      <c r="K86">
        <v>17028649</v>
      </c>
      <c r="L86">
        <v>95272</v>
      </c>
      <c r="M86" t="s">
        <v>299</v>
      </c>
      <c r="N86">
        <v>318348413</v>
      </c>
      <c r="O86">
        <v>1</v>
      </c>
      <c r="P86" t="s">
        <v>567</v>
      </c>
      <c r="Q86" t="s">
        <v>567</v>
      </c>
      <c r="R86" t="s">
        <v>199</v>
      </c>
      <c r="S86">
        <v>1407220121</v>
      </c>
      <c r="T86" t="s">
        <v>562</v>
      </c>
    </row>
    <row r="87" spans="1:20" x14ac:dyDescent="0.3">
      <c r="A87">
        <v>865231082</v>
      </c>
      <c r="B87" t="s">
        <v>301</v>
      </c>
      <c r="C87" t="s">
        <v>302</v>
      </c>
      <c r="D87" t="s">
        <v>300</v>
      </c>
      <c r="E87">
        <v>300</v>
      </c>
      <c r="F87">
        <v>100</v>
      </c>
      <c r="G87">
        <v>100</v>
      </c>
      <c r="H87" t="s">
        <v>196</v>
      </c>
      <c r="I87">
        <v>3000</v>
      </c>
      <c r="J87" t="s">
        <v>197</v>
      </c>
      <c r="K87">
        <v>17028752</v>
      </c>
      <c r="L87">
        <v>92267</v>
      </c>
      <c r="M87" t="s">
        <v>303</v>
      </c>
      <c r="N87">
        <v>321266566</v>
      </c>
      <c r="O87">
        <v>1</v>
      </c>
      <c r="P87" t="s">
        <v>567</v>
      </c>
      <c r="Q87" t="s">
        <v>567</v>
      </c>
      <c r="R87" t="s">
        <v>199</v>
      </c>
      <c r="S87">
        <v>1413951821</v>
      </c>
      <c r="T87" t="s">
        <v>562</v>
      </c>
    </row>
    <row r="88" spans="1:20" x14ac:dyDescent="0.3">
      <c r="A88">
        <v>868507614</v>
      </c>
      <c r="B88" t="s">
        <v>53</v>
      </c>
      <c r="C88" t="s">
        <v>54</v>
      </c>
      <c r="D88" t="s">
        <v>304</v>
      </c>
      <c r="E88">
        <v>100</v>
      </c>
      <c r="F88">
        <v>310</v>
      </c>
      <c r="G88">
        <v>220</v>
      </c>
      <c r="H88" t="s">
        <v>196</v>
      </c>
      <c r="I88">
        <v>1600</v>
      </c>
      <c r="J88" t="s">
        <v>197</v>
      </c>
      <c r="K88">
        <v>17028664</v>
      </c>
      <c r="L88">
        <v>92929</v>
      </c>
      <c r="M88" t="s">
        <v>305</v>
      </c>
      <c r="N88">
        <v>180029603</v>
      </c>
      <c r="O88">
        <v>1</v>
      </c>
      <c r="P88" t="s">
        <v>567</v>
      </c>
      <c r="Q88" t="s">
        <v>567</v>
      </c>
      <c r="R88" t="s">
        <v>199</v>
      </c>
      <c r="S88">
        <v>1416845781</v>
      </c>
      <c r="T88" t="s">
        <v>562</v>
      </c>
    </row>
    <row r="89" spans="1:20" x14ac:dyDescent="0.3">
      <c r="A89">
        <v>868535610</v>
      </c>
      <c r="B89" t="s">
        <v>307</v>
      </c>
      <c r="C89" t="s">
        <v>308</v>
      </c>
      <c r="D89" t="s">
        <v>306</v>
      </c>
      <c r="E89">
        <v>5</v>
      </c>
      <c r="F89">
        <v>300</v>
      </c>
      <c r="G89">
        <v>210</v>
      </c>
      <c r="H89" t="s">
        <v>196</v>
      </c>
      <c r="I89">
        <v>80</v>
      </c>
      <c r="J89" t="s">
        <v>197</v>
      </c>
      <c r="K89">
        <v>17028664</v>
      </c>
      <c r="L89">
        <v>92929</v>
      </c>
      <c r="M89" t="s">
        <v>305</v>
      </c>
      <c r="N89">
        <v>337792018</v>
      </c>
      <c r="O89">
        <v>1</v>
      </c>
      <c r="P89" t="s">
        <v>567</v>
      </c>
      <c r="Q89" t="s">
        <v>567</v>
      </c>
      <c r="R89" t="s">
        <v>199</v>
      </c>
      <c r="S89">
        <v>1416870958</v>
      </c>
      <c r="T89" t="s">
        <v>562</v>
      </c>
    </row>
    <row r="90" spans="1:20" x14ac:dyDescent="0.3">
      <c r="A90">
        <v>885454582</v>
      </c>
      <c r="B90" t="s">
        <v>310</v>
      </c>
      <c r="C90" t="s">
        <v>311</v>
      </c>
      <c r="D90" t="s">
        <v>309</v>
      </c>
      <c r="E90">
        <v>50</v>
      </c>
      <c r="F90">
        <v>140</v>
      </c>
      <c r="G90">
        <v>120</v>
      </c>
      <c r="H90" t="s">
        <v>196</v>
      </c>
      <c r="I90">
        <v>250</v>
      </c>
      <c r="J90" t="s">
        <v>197</v>
      </c>
      <c r="K90">
        <v>17028649</v>
      </c>
      <c r="L90">
        <v>95272</v>
      </c>
      <c r="M90" t="s">
        <v>312</v>
      </c>
      <c r="N90">
        <v>331059744</v>
      </c>
      <c r="O90">
        <v>1</v>
      </c>
      <c r="P90" t="s">
        <v>567</v>
      </c>
      <c r="Q90" t="s">
        <v>567</v>
      </c>
      <c r="R90" t="s">
        <v>199</v>
      </c>
      <c r="S90">
        <v>1431882316</v>
      </c>
      <c r="T90" t="s">
        <v>562</v>
      </c>
    </row>
    <row r="91" spans="1:20" x14ac:dyDescent="0.3">
      <c r="A91">
        <v>885455354</v>
      </c>
      <c r="B91" t="s">
        <v>314</v>
      </c>
      <c r="C91" t="s">
        <v>315</v>
      </c>
      <c r="D91" t="s">
        <v>313</v>
      </c>
      <c r="E91">
        <v>50</v>
      </c>
      <c r="F91">
        <v>140</v>
      </c>
      <c r="G91">
        <v>120</v>
      </c>
      <c r="H91" t="s">
        <v>196</v>
      </c>
      <c r="I91">
        <v>250</v>
      </c>
      <c r="J91" t="s">
        <v>197</v>
      </c>
      <c r="K91">
        <v>17028649</v>
      </c>
      <c r="L91">
        <v>95272</v>
      </c>
      <c r="M91" t="s">
        <v>316</v>
      </c>
      <c r="N91">
        <v>331059960</v>
      </c>
      <c r="O91">
        <v>1</v>
      </c>
      <c r="P91" t="s">
        <v>567</v>
      </c>
      <c r="Q91" t="s">
        <v>567</v>
      </c>
      <c r="R91" t="s">
        <v>199</v>
      </c>
      <c r="S91">
        <v>1431885229</v>
      </c>
      <c r="T91" t="s">
        <v>562</v>
      </c>
    </row>
    <row r="92" spans="1:20" x14ac:dyDescent="0.3">
      <c r="A92">
        <v>921873625</v>
      </c>
      <c r="B92" t="s">
        <v>318</v>
      </c>
      <c r="C92" t="s">
        <v>319</v>
      </c>
      <c r="D92" t="s">
        <v>317</v>
      </c>
      <c r="E92">
        <v>40</v>
      </c>
      <c r="F92">
        <v>150</v>
      </c>
      <c r="G92">
        <v>60</v>
      </c>
      <c r="H92" t="s">
        <v>196</v>
      </c>
      <c r="I92">
        <v>80</v>
      </c>
      <c r="J92" t="s">
        <v>197</v>
      </c>
      <c r="K92">
        <v>17029017</v>
      </c>
      <c r="L92">
        <v>91415</v>
      </c>
      <c r="M92" t="s">
        <v>320</v>
      </c>
      <c r="N92">
        <v>345918018</v>
      </c>
      <c r="O92">
        <v>1</v>
      </c>
      <c r="P92" t="s">
        <v>567</v>
      </c>
      <c r="Q92" t="s">
        <v>567</v>
      </c>
      <c r="R92" t="s">
        <v>199</v>
      </c>
      <c r="S92">
        <v>1462522572</v>
      </c>
      <c r="T92" t="s">
        <v>562</v>
      </c>
    </row>
    <row r="93" spans="1:20" x14ac:dyDescent="0.3">
      <c r="A93">
        <v>921893821</v>
      </c>
      <c r="B93" t="s">
        <v>322</v>
      </c>
      <c r="C93" t="s">
        <v>323</v>
      </c>
      <c r="D93" t="s">
        <v>321</v>
      </c>
      <c r="E93">
        <v>40</v>
      </c>
      <c r="F93">
        <v>150</v>
      </c>
      <c r="G93">
        <v>60</v>
      </c>
      <c r="H93" t="s">
        <v>196</v>
      </c>
      <c r="I93">
        <v>80</v>
      </c>
      <c r="J93" t="s">
        <v>197</v>
      </c>
      <c r="K93">
        <v>17029017</v>
      </c>
      <c r="L93">
        <v>91415</v>
      </c>
      <c r="M93" t="s">
        <v>199</v>
      </c>
      <c r="N93">
        <v>345920133</v>
      </c>
      <c r="O93">
        <v>1</v>
      </c>
      <c r="P93" t="s">
        <v>567</v>
      </c>
      <c r="Q93" t="s">
        <v>567</v>
      </c>
      <c r="R93" t="s">
        <v>199</v>
      </c>
      <c r="S93">
        <v>1462534313</v>
      </c>
      <c r="T93" t="s">
        <v>562</v>
      </c>
    </row>
    <row r="94" spans="1:20" x14ac:dyDescent="0.3">
      <c r="A94">
        <v>921904316</v>
      </c>
      <c r="B94" t="s">
        <v>325</v>
      </c>
      <c r="C94" t="s">
        <v>326</v>
      </c>
      <c r="D94" t="s">
        <v>324</v>
      </c>
      <c r="E94">
        <v>40</v>
      </c>
      <c r="F94">
        <v>100</v>
      </c>
      <c r="G94">
        <v>60</v>
      </c>
      <c r="H94" t="s">
        <v>196</v>
      </c>
      <c r="I94">
        <v>80</v>
      </c>
      <c r="J94" t="s">
        <v>197</v>
      </c>
      <c r="K94">
        <v>17029017</v>
      </c>
      <c r="L94">
        <v>91415</v>
      </c>
      <c r="M94" t="s">
        <v>327</v>
      </c>
      <c r="N94">
        <v>345923455</v>
      </c>
      <c r="O94">
        <v>1</v>
      </c>
      <c r="P94" t="s">
        <v>567</v>
      </c>
      <c r="Q94" t="s">
        <v>567</v>
      </c>
      <c r="R94" t="s">
        <v>199</v>
      </c>
      <c r="S94">
        <v>1462543566</v>
      </c>
      <c r="T94" t="s">
        <v>562</v>
      </c>
    </row>
    <row r="95" spans="1:20" x14ac:dyDescent="0.3">
      <c r="A95">
        <v>1028192644</v>
      </c>
      <c r="B95" t="s">
        <v>329</v>
      </c>
      <c r="C95" t="s">
        <v>330</v>
      </c>
      <c r="D95" t="s">
        <v>328</v>
      </c>
      <c r="E95">
        <v>50</v>
      </c>
      <c r="F95">
        <v>150</v>
      </c>
      <c r="G95">
        <v>150</v>
      </c>
      <c r="H95" t="s">
        <v>196</v>
      </c>
      <c r="I95">
        <v>250</v>
      </c>
      <c r="J95" t="s">
        <v>197</v>
      </c>
      <c r="K95">
        <v>17028649</v>
      </c>
      <c r="L95">
        <v>95272</v>
      </c>
      <c r="M95" t="s">
        <v>331</v>
      </c>
      <c r="N95">
        <v>55652331</v>
      </c>
      <c r="O95">
        <v>1</v>
      </c>
      <c r="P95" t="s">
        <v>567</v>
      </c>
      <c r="Q95" t="s">
        <v>567</v>
      </c>
      <c r="R95" t="s">
        <v>199</v>
      </c>
      <c r="S95">
        <v>1553321016</v>
      </c>
      <c r="T95" t="s">
        <v>562</v>
      </c>
    </row>
    <row r="96" spans="1:20" x14ac:dyDescent="0.3">
      <c r="A96">
        <v>1028193647</v>
      </c>
      <c r="B96" t="s">
        <v>333</v>
      </c>
      <c r="C96" t="s">
        <v>334</v>
      </c>
      <c r="D96" t="s">
        <v>332</v>
      </c>
      <c r="E96">
        <v>50</v>
      </c>
      <c r="F96">
        <v>150</v>
      </c>
      <c r="G96">
        <v>150</v>
      </c>
      <c r="H96" t="s">
        <v>196</v>
      </c>
      <c r="I96">
        <v>250</v>
      </c>
      <c r="J96" t="s">
        <v>197</v>
      </c>
      <c r="K96">
        <v>17028649</v>
      </c>
      <c r="L96">
        <v>95272</v>
      </c>
      <c r="M96" t="s">
        <v>335</v>
      </c>
      <c r="N96">
        <v>371115094</v>
      </c>
      <c r="O96">
        <v>2</v>
      </c>
      <c r="P96" t="s">
        <v>567</v>
      </c>
      <c r="Q96" t="s">
        <v>567</v>
      </c>
      <c r="R96" t="s">
        <v>199</v>
      </c>
      <c r="S96">
        <v>1553321483</v>
      </c>
      <c r="T96" t="s">
        <v>562</v>
      </c>
    </row>
    <row r="97" spans="1:20" x14ac:dyDescent="0.3">
      <c r="A97">
        <v>1028194093</v>
      </c>
      <c r="B97" t="s">
        <v>337</v>
      </c>
      <c r="C97" t="s">
        <v>338</v>
      </c>
      <c r="D97" t="s">
        <v>336</v>
      </c>
      <c r="E97">
        <v>50</v>
      </c>
      <c r="F97">
        <v>150</v>
      </c>
      <c r="G97">
        <v>150</v>
      </c>
      <c r="H97" t="s">
        <v>196</v>
      </c>
      <c r="I97">
        <v>250</v>
      </c>
      <c r="J97" t="s">
        <v>197</v>
      </c>
      <c r="K97">
        <v>17028649</v>
      </c>
      <c r="L97">
        <v>95272</v>
      </c>
      <c r="M97" t="s">
        <v>339</v>
      </c>
      <c r="N97">
        <v>371115094</v>
      </c>
      <c r="O97">
        <v>2</v>
      </c>
      <c r="P97" t="s">
        <v>567</v>
      </c>
      <c r="Q97" t="s">
        <v>567</v>
      </c>
      <c r="R97" t="s">
        <v>199</v>
      </c>
      <c r="S97">
        <v>1553323034</v>
      </c>
      <c r="T97" t="s">
        <v>562</v>
      </c>
    </row>
    <row r="98" spans="1:20" x14ac:dyDescent="0.3">
      <c r="A98">
        <v>1422973930</v>
      </c>
      <c r="B98" t="s">
        <v>341</v>
      </c>
      <c r="C98" t="s">
        <v>342</v>
      </c>
      <c r="D98" t="s">
        <v>340</v>
      </c>
      <c r="E98">
        <v>50</v>
      </c>
      <c r="F98">
        <v>140</v>
      </c>
      <c r="G98">
        <v>120</v>
      </c>
      <c r="H98" t="s">
        <v>196</v>
      </c>
      <c r="I98">
        <v>250</v>
      </c>
      <c r="J98" t="s">
        <v>197</v>
      </c>
      <c r="K98">
        <v>17028649</v>
      </c>
      <c r="L98">
        <v>95272</v>
      </c>
      <c r="M98" t="s">
        <v>223</v>
      </c>
      <c r="N98">
        <v>519821560</v>
      </c>
      <c r="O98">
        <v>1</v>
      </c>
      <c r="P98" t="s">
        <v>567</v>
      </c>
      <c r="Q98" t="s">
        <v>567</v>
      </c>
      <c r="R98" t="s">
        <v>199</v>
      </c>
      <c r="S98">
        <v>1886455617</v>
      </c>
      <c r="T98" t="s">
        <v>562</v>
      </c>
    </row>
    <row r="99" spans="1:20" x14ac:dyDescent="0.3">
      <c r="A99">
        <v>1423128376</v>
      </c>
      <c r="B99" t="s">
        <v>344</v>
      </c>
      <c r="C99" t="s">
        <v>345</v>
      </c>
      <c r="D99" t="s">
        <v>343</v>
      </c>
      <c r="E99">
        <v>50</v>
      </c>
      <c r="F99">
        <v>140</v>
      </c>
      <c r="G99">
        <v>120</v>
      </c>
      <c r="H99" t="s">
        <v>196</v>
      </c>
      <c r="I99">
        <v>250</v>
      </c>
      <c r="J99" t="s">
        <v>197</v>
      </c>
      <c r="K99">
        <v>17028649</v>
      </c>
      <c r="L99">
        <v>95272</v>
      </c>
      <c r="M99" t="s">
        <v>224</v>
      </c>
      <c r="N99">
        <v>519791687</v>
      </c>
      <c r="O99">
        <v>1</v>
      </c>
      <c r="P99" t="s">
        <v>567</v>
      </c>
      <c r="Q99" t="s">
        <v>567</v>
      </c>
      <c r="R99" t="s">
        <v>199</v>
      </c>
      <c r="S99">
        <v>1886577158</v>
      </c>
      <c r="T99" t="s">
        <v>562</v>
      </c>
    </row>
    <row r="100" spans="1:20" x14ac:dyDescent="0.3">
      <c r="A100">
        <v>1423198484</v>
      </c>
      <c r="B100" t="s">
        <v>347</v>
      </c>
      <c r="C100" t="s">
        <v>348</v>
      </c>
      <c r="D100" t="s">
        <v>346</v>
      </c>
      <c r="E100">
        <v>50</v>
      </c>
      <c r="F100">
        <v>140</v>
      </c>
      <c r="G100">
        <v>120</v>
      </c>
      <c r="H100" t="s">
        <v>196</v>
      </c>
      <c r="I100">
        <v>250</v>
      </c>
      <c r="J100" t="s">
        <v>197</v>
      </c>
      <c r="K100">
        <v>17028649</v>
      </c>
      <c r="L100">
        <v>95272</v>
      </c>
      <c r="M100" t="s">
        <v>349</v>
      </c>
      <c r="N100">
        <v>519789197</v>
      </c>
      <c r="O100">
        <v>1</v>
      </c>
      <c r="P100" t="s">
        <v>567</v>
      </c>
      <c r="Q100" t="s">
        <v>567</v>
      </c>
      <c r="R100" t="s">
        <v>199</v>
      </c>
      <c r="S100">
        <v>1886630924</v>
      </c>
      <c r="T100" t="s">
        <v>562</v>
      </c>
    </row>
    <row r="101" spans="1:20" x14ac:dyDescent="0.3">
      <c r="A101">
        <v>1451612729</v>
      </c>
      <c r="B101" t="s">
        <v>351</v>
      </c>
      <c r="C101" t="s">
        <v>66</v>
      </c>
      <c r="D101" t="s">
        <v>350</v>
      </c>
      <c r="E101">
        <v>100</v>
      </c>
      <c r="F101">
        <v>350</v>
      </c>
      <c r="G101">
        <v>80</v>
      </c>
      <c r="H101" t="s">
        <v>196</v>
      </c>
      <c r="I101">
        <v>500</v>
      </c>
      <c r="J101" t="s">
        <v>197</v>
      </c>
      <c r="K101">
        <v>17028973</v>
      </c>
      <c r="L101">
        <v>92843</v>
      </c>
      <c r="M101" t="s">
        <v>352</v>
      </c>
      <c r="N101">
        <v>358633050</v>
      </c>
      <c r="O101">
        <v>23</v>
      </c>
      <c r="P101" t="s">
        <v>567</v>
      </c>
      <c r="Q101" t="s">
        <v>567</v>
      </c>
      <c r="R101" t="s">
        <v>199</v>
      </c>
      <c r="S101">
        <v>1908727434</v>
      </c>
      <c r="T101" t="s">
        <v>562</v>
      </c>
    </row>
    <row r="102" spans="1:20" x14ac:dyDescent="0.3">
      <c r="A102">
        <v>1756940283</v>
      </c>
      <c r="B102" t="s">
        <v>354</v>
      </c>
      <c r="C102" t="s">
        <v>355</v>
      </c>
      <c r="D102" t="s">
        <v>353</v>
      </c>
      <c r="E102">
        <v>90</v>
      </c>
      <c r="F102">
        <v>300</v>
      </c>
      <c r="G102">
        <v>80</v>
      </c>
      <c r="H102" t="s">
        <v>196</v>
      </c>
      <c r="I102">
        <v>400</v>
      </c>
      <c r="J102" t="s">
        <v>197</v>
      </c>
      <c r="K102">
        <v>17028973</v>
      </c>
      <c r="L102">
        <v>92843</v>
      </c>
      <c r="M102" t="s">
        <v>356</v>
      </c>
      <c r="N102">
        <v>572160630</v>
      </c>
      <c r="O102">
        <v>1</v>
      </c>
      <c r="P102" t="s">
        <v>567</v>
      </c>
      <c r="Q102" t="s">
        <v>567</v>
      </c>
      <c r="R102" t="s">
        <v>199</v>
      </c>
      <c r="S102">
        <v>2127752917</v>
      </c>
      <c r="T102" t="s">
        <v>562</v>
      </c>
    </row>
    <row r="103" spans="1:20" x14ac:dyDescent="0.3">
      <c r="A103">
        <v>1757085396</v>
      </c>
      <c r="B103" t="s">
        <v>250</v>
      </c>
      <c r="C103" t="s">
        <v>601</v>
      </c>
      <c r="D103" t="s">
        <v>177</v>
      </c>
      <c r="E103">
        <v>100</v>
      </c>
      <c r="F103">
        <v>300</v>
      </c>
      <c r="G103">
        <v>500</v>
      </c>
      <c r="H103" t="s">
        <v>196</v>
      </c>
      <c r="I103">
        <v>1000</v>
      </c>
      <c r="J103" t="s">
        <v>197</v>
      </c>
      <c r="K103">
        <v>17028946</v>
      </c>
      <c r="L103">
        <v>94715</v>
      </c>
      <c r="M103" t="s">
        <v>602</v>
      </c>
      <c r="N103">
        <v>572219835</v>
      </c>
      <c r="O103">
        <v>1</v>
      </c>
      <c r="P103" t="s">
        <v>567</v>
      </c>
      <c r="Q103" t="s">
        <v>567</v>
      </c>
      <c r="R103" t="s">
        <v>199</v>
      </c>
      <c r="S103">
        <v>2127867944</v>
      </c>
      <c r="T103" t="s">
        <v>562</v>
      </c>
    </row>
    <row r="104" spans="1:20" x14ac:dyDescent="0.3">
      <c r="A104">
        <v>2327546092</v>
      </c>
      <c r="B104" t="s">
        <v>608</v>
      </c>
      <c r="C104" t="s">
        <v>609</v>
      </c>
      <c r="D104" t="s">
        <v>607</v>
      </c>
      <c r="E104">
        <v>140</v>
      </c>
      <c r="F104">
        <v>450</v>
      </c>
      <c r="G104">
        <v>230</v>
      </c>
      <c r="H104" t="s">
        <v>196</v>
      </c>
      <c r="I104">
        <v>3500</v>
      </c>
      <c r="J104" t="s">
        <v>197</v>
      </c>
      <c r="K104">
        <v>17028921</v>
      </c>
      <c r="L104">
        <v>96851</v>
      </c>
      <c r="M104" t="s">
        <v>610</v>
      </c>
      <c r="N104">
        <v>391994482</v>
      </c>
      <c r="O104">
        <v>1</v>
      </c>
      <c r="P104" t="s">
        <v>567</v>
      </c>
      <c r="Q104" t="s">
        <v>567</v>
      </c>
      <c r="R104" t="s">
        <v>199</v>
      </c>
      <c r="S104">
        <v>2576060673</v>
      </c>
      <c r="T104" t="s">
        <v>562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6C34-280D-4E90-BFE4-F5CAC3E13D32}">
  <sheetPr codeName="Лист14">
    <tabColor rgb="FFFFFF00"/>
  </sheetPr>
  <dimension ref="A1:S35"/>
  <sheetViews>
    <sheetView workbookViewId="0">
      <selection activeCell="T32" sqref="T32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80.88671875" bestFit="1" customWidth="1"/>
    <col min="4" max="4" width="9.88671875" bestFit="1" customWidth="1"/>
    <col min="5" max="5" width="8.5546875" bestFit="1" customWidth="1"/>
    <col min="6" max="6" width="8.21875" bestFit="1" customWidth="1"/>
    <col min="7" max="7" width="8" bestFit="1" customWidth="1"/>
    <col min="8" max="8" width="16.44140625" bestFit="1" customWidth="1"/>
    <col min="10" max="10" width="13.21875" bestFit="1" customWidth="1"/>
    <col min="11" max="11" width="23.77734375" bestFit="1" customWidth="1"/>
    <col min="12" max="12" width="9.5546875" bestFit="1" customWidth="1"/>
    <col min="13" max="13" width="49.33203125" bestFit="1" customWidth="1"/>
    <col min="14" max="14" width="11.109375" bestFit="1" customWidth="1"/>
    <col min="15" max="15" width="8.109375" bestFit="1" customWidth="1"/>
    <col min="16" max="16" width="11.33203125" bestFit="1" customWidth="1"/>
    <col min="17" max="17" width="19.6640625" bestFit="1" customWidth="1"/>
    <col min="18" max="18" width="13.5546875" bestFit="1" customWidth="1"/>
    <col min="19" max="19" width="11" bestFit="1" customWidth="1"/>
  </cols>
  <sheetData>
    <row r="1" spans="1:19" x14ac:dyDescent="0.3">
      <c r="A1" t="s">
        <v>564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565</v>
      </c>
      <c r="Q1" t="s">
        <v>566</v>
      </c>
      <c r="R1" t="s">
        <v>194</v>
      </c>
      <c r="S1" t="s">
        <v>195</v>
      </c>
    </row>
    <row r="2" spans="1:19" x14ac:dyDescent="0.3">
      <c r="A2">
        <v>843059432</v>
      </c>
      <c r="B2" t="s">
        <v>257</v>
      </c>
      <c r="C2" t="s">
        <v>258</v>
      </c>
      <c r="D2" t="s">
        <v>256</v>
      </c>
      <c r="E2">
        <v>50</v>
      </c>
      <c r="F2">
        <v>140</v>
      </c>
      <c r="G2">
        <v>120</v>
      </c>
      <c r="H2" t="s">
        <v>196</v>
      </c>
      <c r="I2">
        <v>250</v>
      </c>
      <c r="J2" t="s">
        <v>197</v>
      </c>
      <c r="K2">
        <v>17028649</v>
      </c>
      <c r="L2">
        <v>95272</v>
      </c>
      <c r="M2" t="s">
        <v>259</v>
      </c>
      <c r="N2">
        <v>291215577</v>
      </c>
      <c r="O2">
        <v>4</v>
      </c>
      <c r="P2" t="s">
        <v>567</v>
      </c>
      <c r="Q2" t="s">
        <v>567</v>
      </c>
      <c r="R2" t="s">
        <v>199</v>
      </c>
      <c r="S2">
        <v>1394692927</v>
      </c>
    </row>
    <row r="3" spans="1:19" x14ac:dyDescent="0.3">
      <c r="A3">
        <v>843059434</v>
      </c>
      <c r="B3" t="s">
        <v>261</v>
      </c>
      <c r="C3" t="s">
        <v>262</v>
      </c>
      <c r="D3" t="s">
        <v>260</v>
      </c>
      <c r="E3">
        <v>50</v>
      </c>
      <c r="F3">
        <v>140</v>
      </c>
      <c r="G3">
        <v>120</v>
      </c>
      <c r="H3" t="s">
        <v>196</v>
      </c>
      <c r="I3">
        <v>250</v>
      </c>
      <c r="J3" t="s">
        <v>197</v>
      </c>
      <c r="K3">
        <v>17028649</v>
      </c>
      <c r="L3">
        <v>95272</v>
      </c>
      <c r="M3" t="s">
        <v>263</v>
      </c>
      <c r="N3">
        <v>291228104</v>
      </c>
      <c r="O3">
        <v>3</v>
      </c>
      <c r="P3" t="s">
        <v>567</v>
      </c>
      <c r="Q3" t="s">
        <v>567</v>
      </c>
      <c r="R3" t="s">
        <v>199</v>
      </c>
      <c r="S3">
        <v>1394692908</v>
      </c>
    </row>
    <row r="4" spans="1:19" x14ac:dyDescent="0.3">
      <c r="A4">
        <v>843059437</v>
      </c>
      <c r="B4" t="s">
        <v>38</v>
      </c>
      <c r="C4" t="s">
        <v>39</v>
      </c>
      <c r="D4" t="s">
        <v>264</v>
      </c>
      <c r="E4">
        <v>50</v>
      </c>
      <c r="F4">
        <v>140</v>
      </c>
      <c r="G4">
        <v>120</v>
      </c>
      <c r="H4" t="s">
        <v>196</v>
      </c>
      <c r="I4">
        <v>250</v>
      </c>
      <c r="J4" t="s">
        <v>197</v>
      </c>
      <c r="K4">
        <v>17028649</v>
      </c>
      <c r="L4">
        <v>95272</v>
      </c>
      <c r="M4" t="s">
        <v>265</v>
      </c>
      <c r="N4">
        <v>68572613</v>
      </c>
      <c r="O4">
        <v>4</v>
      </c>
      <c r="P4" t="s">
        <v>567</v>
      </c>
      <c r="Q4" t="s">
        <v>567</v>
      </c>
      <c r="R4" t="s">
        <v>199</v>
      </c>
      <c r="S4">
        <v>1394692902</v>
      </c>
    </row>
    <row r="5" spans="1:19" x14ac:dyDescent="0.3">
      <c r="A5">
        <v>843059439</v>
      </c>
      <c r="B5" t="s">
        <v>267</v>
      </c>
      <c r="C5" t="s">
        <v>268</v>
      </c>
      <c r="D5" t="s">
        <v>266</v>
      </c>
      <c r="E5">
        <v>50</v>
      </c>
      <c r="F5">
        <v>140</v>
      </c>
      <c r="G5">
        <v>120</v>
      </c>
      <c r="H5" t="s">
        <v>196</v>
      </c>
      <c r="I5">
        <v>250</v>
      </c>
      <c r="J5" t="s">
        <v>197</v>
      </c>
      <c r="K5">
        <v>17028649</v>
      </c>
      <c r="L5">
        <v>95272</v>
      </c>
      <c r="M5" t="s">
        <v>269</v>
      </c>
      <c r="N5">
        <v>291215577</v>
      </c>
      <c r="O5">
        <v>4</v>
      </c>
      <c r="P5" t="s">
        <v>567</v>
      </c>
      <c r="Q5" t="s">
        <v>567</v>
      </c>
      <c r="R5" t="s">
        <v>199</v>
      </c>
      <c r="S5">
        <v>1394692944</v>
      </c>
    </row>
    <row r="6" spans="1:19" x14ac:dyDescent="0.3">
      <c r="A6">
        <v>843059444</v>
      </c>
      <c r="B6" t="s">
        <v>271</v>
      </c>
      <c r="C6" t="s">
        <v>262</v>
      </c>
      <c r="D6" t="s">
        <v>270</v>
      </c>
      <c r="E6">
        <v>50</v>
      </c>
      <c r="F6">
        <v>140</v>
      </c>
      <c r="G6">
        <v>120</v>
      </c>
      <c r="H6" t="s">
        <v>196</v>
      </c>
      <c r="I6">
        <v>250</v>
      </c>
      <c r="J6" t="s">
        <v>197</v>
      </c>
      <c r="K6">
        <v>17028649</v>
      </c>
      <c r="L6">
        <v>95272</v>
      </c>
      <c r="M6" t="s">
        <v>272</v>
      </c>
      <c r="N6">
        <v>291228104</v>
      </c>
      <c r="O6">
        <v>3</v>
      </c>
      <c r="P6" t="s">
        <v>567</v>
      </c>
      <c r="Q6" t="s">
        <v>567</v>
      </c>
      <c r="R6" t="s">
        <v>199</v>
      </c>
      <c r="S6">
        <v>1394692948</v>
      </c>
    </row>
    <row r="7" spans="1:19" x14ac:dyDescent="0.3">
      <c r="A7">
        <v>843059451</v>
      </c>
      <c r="B7" t="s">
        <v>273</v>
      </c>
      <c r="C7" t="s">
        <v>274</v>
      </c>
      <c r="D7" t="s">
        <v>254</v>
      </c>
      <c r="E7">
        <v>50</v>
      </c>
      <c r="F7">
        <v>140</v>
      </c>
      <c r="G7">
        <v>120</v>
      </c>
      <c r="H7" t="s">
        <v>196</v>
      </c>
      <c r="I7">
        <v>250</v>
      </c>
      <c r="J7" t="s">
        <v>197</v>
      </c>
      <c r="K7">
        <v>17028649</v>
      </c>
      <c r="L7">
        <v>95272</v>
      </c>
      <c r="M7" t="s">
        <v>275</v>
      </c>
      <c r="N7">
        <v>291215577</v>
      </c>
      <c r="O7">
        <v>4</v>
      </c>
      <c r="P7" t="s">
        <v>567</v>
      </c>
      <c r="Q7" t="s">
        <v>567</v>
      </c>
      <c r="R7" t="s">
        <v>199</v>
      </c>
      <c r="S7">
        <v>1394692953</v>
      </c>
    </row>
    <row r="8" spans="1:19" x14ac:dyDescent="0.3">
      <c r="A8">
        <v>843059453</v>
      </c>
      <c r="B8" t="s">
        <v>277</v>
      </c>
      <c r="C8" t="s">
        <v>278</v>
      </c>
      <c r="D8" t="s">
        <v>276</v>
      </c>
      <c r="E8">
        <v>50</v>
      </c>
      <c r="F8">
        <v>110</v>
      </c>
      <c r="G8">
        <v>80</v>
      </c>
      <c r="H8" t="s">
        <v>196</v>
      </c>
      <c r="I8">
        <v>140</v>
      </c>
      <c r="J8" t="s">
        <v>197</v>
      </c>
      <c r="K8">
        <v>17028932</v>
      </c>
      <c r="L8">
        <v>91518</v>
      </c>
      <c r="M8" t="s">
        <v>279</v>
      </c>
      <c r="N8">
        <v>292965062</v>
      </c>
      <c r="O8">
        <v>2</v>
      </c>
      <c r="P8" t="s">
        <v>567</v>
      </c>
      <c r="Q8" t="s">
        <v>567</v>
      </c>
      <c r="R8" t="s">
        <v>199</v>
      </c>
      <c r="S8">
        <v>1394692914</v>
      </c>
    </row>
    <row r="9" spans="1:19" x14ac:dyDescent="0.3">
      <c r="A9">
        <v>843059467</v>
      </c>
      <c r="B9" t="s">
        <v>36</v>
      </c>
      <c r="C9" t="s">
        <v>37</v>
      </c>
      <c r="D9" t="s">
        <v>133</v>
      </c>
      <c r="E9">
        <v>50</v>
      </c>
      <c r="F9">
        <v>140</v>
      </c>
      <c r="G9">
        <v>120</v>
      </c>
      <c r="H9" t="s">
        <v>196</v>
      </c>
      <c r="I9">
        <v>250</v>
      </c>
      <c r="J9" t="s">
        <v>197</v>
      </c>
      <c r="K9">
        <v>17028649</v>
      </c>
      <c r="L9">
        <v>95272</v>
      </c>
      <c r="M9" t="s">
        <v>201</v>
      </c>
      <c r="N9">
        <v>68572613</v>
      </c>
      <c r="O9">
        <v>4</v>
      </c>
      <c r="P9" t="s">
        <v>567</v>
      </c>
      <c r="Q9" t="s">
        <v>567</v>
      </c>
      <c r="R9" t="s">
        <v>199</v>
      </c>
      <c r="S9">
        <v>1394692940</v>
      </c>
    </row>
    <row r="10" spans="1:19" x14ac:dyDescent="0.3">
      <c r="A10">
        <v>843059472</v>
      </c>
      <c r="B10" t="s">
        <v>40</v>
      </c>
      <c r="C10" t="s">
        <v>41</v>
      </c>
      <c r="D10" t="s">
        <v>280</v>
      </c>
      <c r="E10">
        <v>50</v>
      </c>
      <c r="F10">
        <v>140</v>
      </c>
      <c r="G10">
        <v>120</v>
      </c>
      <c r="H10" t="s">
        <v>196</v>
      </c>
      <c r="I10">
        <v>250</v>
      </c>
      <c r="J10" t="s">
        <v>197</v>
      </c>
      <c r="K10">
        <v>17028649</v>
      </c>
      <c r="L10">
        <v>95272</v>
      </c>
      <c r="M10" t="s">
        <v>281</v>
      </c>
      <c r="N10">
        <v>291215577</v>
      </c>
      <c r="O10">
        <v>4</v>
      </c>
      <c r="P10" t="s">
        <v>567</v>
      </c>
      <c r="Q10" t="s">
        <v>567</v>
      </c>
      <c r="R10" t="s">
        <v>199</v>
      </c>
      <c r="S10">
        <v>1394692965</v>
      </c>
    </row>
    <row r="11" spans="1:19" x14ac:dyDescent="0.3">
      <c r="A11">
        <v>843059474</v>
      </c>
      <c r="B11" t="s">
        <v>283</v>
      </c>
      <c r="C11" t="s">
        <v>262</v>
      </c>
      <c r="D11" t="s">
        <v>282</v>
      </c>
      <c r="E11">
        <v>50</v>
      </c>
      <c r="F11">
        <v>140</v>
      </c>
      <c r="G11">
        <v>120</v>
      </c>
      <c r="H11" t="s">
        <v>196</v>
      </c>
      <c r="I11">
        <v>250</v>
      </c>
      <c r="J11" t="s">
        <v>197</v>
      </c>
      <c r="K11">
        <v>17028649</v>
      </c>
      <c r="L11">
        <v>95272</v>
      </c>
      <c r="M11" t="s">
        <v>284</v>
      </c>
      <c r="N11">
        <v>291228104</v>
      </c>
      <c r="O11">
        <v>3</v>
      </c>
      <c r="P11" t="s">
        <v>567</v>
      </c>
      <c r="Q11" t="s">
        <v>567</v>
      </c>
      <c r="R11" t="s">
        <v>199</v>
      </c>
      <c r="S11">
        <v>1394692963</v>
      </c>
    </row>
    <row r="12" spans="1:19" x14ac:dyDescent="0.3">
      <c r="A12">
        <v>843059483</v>
      </c>
      <c r="B12" t="s">
        <v>44</v>
      </c>
      <c r="C12" t="s">
        <v>43</v>
      </c>
      <c r="D12" t="s">
        <v>285</v>
      </c>
      <c r="E12">
        <v>50</v>
      </c>
      <c r="F12">
        <v>140</v>
      </c>
      <c r="G12">
        <v>120</v>
      </c>
      <c r="H12" t="s">
        <v>196</v>
      </c>
      <c r="I12">
        <v>250</v>
      </c>
      <c r="J12" t="s">
        <v>197</v>
      </c>
      <c r="K12">
        <v>17028649</v>
      </c>
      <c r="L12">
        <v>95272</v>
      </c>
      <c r="M12" t="s">
        <v>286</v>
      </c>
      <c r="N12">
        <v>173498234</v>
      </c>
      <c r="O12">
        <v>2</v>
      </c>
      <c r="P12" t="s">
        <v>567</v>
      </c>
      <c r="Q12" t="s">
        <v>567</v>
      </c>
      <c r="R12" t="s">
        <v>199</v>
      </c>
      <c r="S12">
        <v>1394692961</v>
      </c>
    </row>
    <row r="13" spans="1:19" x14ac:dyDescent="0.3">
      <c r="A13">
        <v>843059490</v>
      </c>
      <c r="B13" t="s">
        <v>288</v>
      </c>
      <c r="C13" t="s">
        <v>289</v>
      </c>
      <c r="D13" t="s">
        <v>287</v>
      </c>
      <c r="E13">
        <v>50</v>
      </c>
      <c r="F13">
        <v>110</v>
      </c>
      <c r="G13">
        <v>80</v>
      </c>
      <c r="H13" t="s">
        <v>196</v>
      </c>
      <c r="I13">
        <v>140</v>
      </c>
      <c r="J13" t="s">
        <v>197</v>
      </c>
      <c r="K13">
        <v>17028932</v>
      </c>
      <c r="L13">
        <v>91518</v>
      </c>
      <c r="M13" t="s">
        <v>290</v>
      </c>
      <c r="N13">
        <v>292965062</v>
      </c>
      <c r="O13">
        <v>2</v>
      </c>
      <c r="P13" t="s">
        <v>567</v>
      </c>
      <c r="Q13" t="s">
        <v>567</v>
      </c>
      <c r="R13" t="s">
        <v>199</v>
      </c>
      <c r="S13">
        <v>1394692979</v>
      </c>
    </row>
    <row r="14" spans="1:19" x14ac:dyDescent="0.3">
      <c r="A14">
        <v>843059491</v>
      </c>
      <c r="B14" t="s">
        <v>47</v>
      </c>
      <c r="C14" t="s">
        <v>48</v>
      </c>
      <c r="D14" t="s">
        <v>291</v>
      </c>
      <c r="E14">
        <v>50</v>
      </c>
      <c r="F14">
        <v>140</v>
      </c>
      <c r="G14">
        <v>120</v>
      </c>
      <c r="H14" t="s">
        <v>196</v>
      </c>
      <c r="I14">
        <v>250</v>
      </c>
      <c r="J14" t="s">
        <v>197</v>
      </c>
      <c r="K14">
        <v>17028649</v>
      </c>
      <c r="L14">
        <v>95272</v>
      </c>
      <c r="M14" t="s">
        <v>292</v>
      </c>
      <c r="N14">
        <v>68572613</v>
      </c>
      <c r="O14">
        <v>4</v>
      </c>
      <c r="P14" t="s">
        <v>567</v>
      </c>
      <c r="Q14" t="s">
        <v>567</v>
      </c>
      <c r="R14" t="s">
        <v>199</v>
      </c>
      <c r="S14">
        <v>1394692977</v>
      </c>
    </row>
    <row r="15" spans="1:19" x14ac:dyDescent="0.3">
      <c r="A15">
        <v>843059492</v>
      </c>
      <c r="B15" t="s">
        <v>45</v>
      </c>
      <c r="C15" t="s">
        <v>46</v>
      </c>
      <c r="D15" t="s">
        <v>293</v>
      </c>
      <c r="E15">
        <v>50</v>
      </c>
      <c r="F15">
        <v>140</v>
      </c>
      <c r="G15">
        <v>120</v>
      </c>
      <c r="H15" t="s">
        <v>196</v>
      </c>
      <c r="I15">
        <v>250</v>
      </c>
      <c r="J15" t="s">
        <v>197</v>
      </c>
      <c r="K15">
        <v>17028649</v>
      </c>
      <c r="L15">
        <v>95272</v>
      </c>
      <c r="M15" t="s">
        <v>294</v>
      </c>
      <c r="N15">
        <v>68572613</v>
      </c>
      <c r="O15">
        <v>4</v>
      </c>
      <c r="P15" t="s">
        <v>567</v>
      </c>
      <c r="Q15" t="s">
        <v>567</v>
      </c>
      <c r="R15" t="s">
        <v>199</v>
      </c>
      <c r="S15">
        <v>1394692975</v>
      </c>
    </row>
    <row r="16" spans="1:19" x14ac:dyDescent="0.3">
      <c r="A16">
        <v>843059495</v>
      </c>
      <c r="B16" t="s">
        <v>42</v>
      </c>
      <c r="C16" t="s">
        <v>43</v>
      </c>
      <c r="D16" t="s">
        <v>255</v>
      </c>
      <c r="E16">
        <v>50</v>
      </c>
      <c r="F16">
        <v>140</v>
      </c>
      <c r="G16">
        <v>120</v>
      </c>
      <c r="H16" t="s">
        <v>196</v>
      </c>
      <c r="I16">
        <v>250</v>
      </c>
      <c r="J16" t="s">
        <v>197</v>
      </c>
      <c r="K16">
        <v>17028649</v>
      </c>
      <c r="L16">
        <v>95272</v>
      </c>
      <c r="M16" t="s">
        <v>295</v>
      </c>
      <c r="N16">
        <v>173498234</v>
      </c>
      <c r="O16">
        <v>2</v>
      </c>
      <c r="P16" t="s">
        <v>567</v>
      </c>
      <c r="Q16" t="s">
        <v>567</v>
      </c>
      <c r="R16" t="s">
        <v>199</v>
      </c>
      <c r="S16">
        <v>1394692978</v>
      </c>
    </row>
    <row r="17" spans="1:19" x14ac:dyDescent="0.3">
      <c r="A17">
        <v>857444533</v>
      </c>
      <c r="B17" t="s">
        <v>297</v>
      </c>
      <c r="C17" t="s">
        <v>298</v>
      </c>
      <c r="D17" t="s">
        <v>296</v>
      </c>
      <c r="E17">
        <v>50</v>
      </c>
      <c r="F17">
        <v>150</v>
      </c>
      <c r="G17">
        <v>130</v>
      </c>
      <c r="H17" t="s">
        <v>196</v>
      </c>
      <c r="I17">
        <v>250</v>
      </c>
      <c r="J17" t="s">
        <v>197</v>
      </c>
      <c r="K17">
        <v>17028649</v>
      </c>
      <c r="L17">
        <v>95272</v>
      </c>
      <c r="M17" t="s">
        <v>299</v>
      </c>
      <c r="N17">
        <v>318348413</v>
      </c>
      <c r="O17">
        <v>1</v>
      </c>
      <c r="P17" t="s">
        <v>567</v>
      </c>
      <c r="Q17" t="s">
        <v>567</v>
      </c>
      <c r="R17" t="s">
        <v>199</v>
      </c>
      <c r="S17">
        <v>1407220121</v>
      </c>
    </row>
    <row r="18" spans="1:19" x14ac:dyDescent="0.3">
      <c r="A18">
        <v>865231082</v>
      </c>
      <c r="B18" t="s">
        <v>301</v>
      </c>
      <c r="C18" t="s">
        <v>302</v>
      </c>
      <c r="D18" t="s">
        <v>300</v>
      </c>
      <c r="E18">
        <v>300</v>
      </c>
      <c r="F18">
        <v>100</v>
      </c>
      <c r="G18">
        <v>100</v>
      </c>
      <c r="H18" t="s">
        <v>196</v>
      </c>
      <c r="I18">
        <v>3000</v>
      </c>
      <c r="J18" t="s">
        <v>197</v>
      </c>
      <c r="K18">
        <v>17028752</v>
      </c>
      <c r="L18">
        <v>92267</v>
      </c>
      <c r="M18" t="s">
        <v>303</v>
      </c>
      <c r="N18">
        <v>321266566</v>
      </c>
      <c r="O18">
        <v>1</v>
      </c>
      <c r="P18" t="s">
        <v>567</v>
      </c>
      <c r="Q18" t="s">
        <v>567</v>
      </c>
      <c r="R18" t="s">
        <v>199</v>
      </c>
      <c r="S18">
        <v>1413951821</v>
      </c>
    </row>
    <row r="19" spans="1:19" x14ac:dyDescent="0.3">
      <c r="A19">
        <v>868507614</v>
      </c>
      <c r="B19" t="s">
        <v>53</v>
      </c>
      <c r="C19" t="s">
        <v>54</v>
      </c>
      <c r="D19" t="s">
        <v>304</v>
      </c>
      <c r="E19">
        <v>100</v>
      </c>
      <c r="F19">
        <v>310</v>
      </c>
      <c r="G19">
        <v>220</v>
      </c>
      <c r="H19" t="s">
        <v>196</v>
      </c>
      <c r="I19">
        <v>1600</v>
      </c>
      <c r="J19" t="s">
        <v>197</v>
      </c>
      <c r="K19">
        <v>17028664</v>
      </c>
      <c r="L19">
        <v>92929</v>
      </c>
      <c r="M19" t="s">
        <v>305</v>
      </c>
      <c r="N19">
        <v>180029603</v>
      </c>
      <c r="O19">
        <v>1</v>
      </c>
      <c r="P19" t="s">
        <v>567</v>
      </c>
      <c r="Q19" t="s">
        <v>567</v>
      </c>
      <c r="R19" t="s">
        <v>199</v>
      </c>
      <c r="S19">
        <v>1416845781</v>
      </c>
    </row>
    <row r="20" spans="1:19" x14ac:dyDescent="0.3">
      <c r="A20">
        <v>868535610</v>
      </c>
      <c r="B20" t="s">
        <v>307</v>
      </c>
      <c r="C20" t="s">
        <v>308</v>
      </c>
      <c r="D20" t="s">
        <v>306</v>
      </c>
      <c r="E20">
        <v>5</v>
      </c>
      <c r="F20">
        <v>300</v>
      </c>
      <c r="G20">
        <v>210</v>
      </c>
      <c r="H20" t="s">
        <v>196</v>
      </c>
      <c r="I20">
        <v>80</v>
      </c>
      <c r="J20" t="s">
        <v>197</v>
      </c>
      <c r="K20">
        <v>17028664</v>
      </c>
      <c r="L20">
        <v>92929</v>
      </c>
      <c r="M20" t="s">
        <v>305</v>
      </c>
      <c r="N20">
        <v>337792018</v>
      </c>
      <c r="O20">
        <v>1</v>
      </c>
      <c r="P20" t="s">
        <v>567</v>
      </c>
      <c r="Q20" t="s">
        <v>567</v>
      </c>
      <c r="R20" t="s">
        <v>199</v>
      </c>
      <c r="S20">
        <v>1416870958</v>
      </c>
    </row>
    <row r="21" spans="1:19" x14ac:dyDescent="0.3">
      <c r="A21">
        <v>885454582</v>
      </c>
      <c r="B21" t="s">
        <v>310</v>
      </c>
      <c r="C21" t="s">
        <v>311</v>
      </c>
      <c r="D21" t="s">
        <v>309</v>
      </c>
      <c r="E21">
        <v>50</v>
      </c>
      <c r="F21">
        <v>140</v>
      </c>
      <c r="G21">
        <v>120</v>
      </c>
      <c r="H21" t="s">
        <v>196</v>
      </c>
      <c r="I21">
        <v>250</v>
      </c>
      <c r="J21" t="s">
        <v>197</v>
      </c>
      <c r="K21">
        <v>17028649</v>
      </c>
      <c r="L21">
        <v>95272</v>
      </c>
      <c r="M21" t="s">
        <v>312</v>
      </c>
      <c r="N21">
        <v>331059744</v>
      </c>
      <c r="O21">
        <v>1</v>
      </c>
      <c r="P21" t="s">
        <v>567</v>
      </c>
      <c r="Q21" t="s">
        <v>567</v>
      </c>
      <c r="R21" t="s">
        <v>199</v>
      </c>
      <c r="S21">
        <v>1431882316</v>
      </c>
    </row>
    <row r="22" spans="1:19" x14ac:dyDescent="0.3">
      <c r="A22">
        <v>885455354</v>
      </c>
      <c r="B22" t="s">
        <v>314</v>
      </c>
      <c r="C22" t="s">
        <v>315</v>
      </c>
      <c r="D22" t="s">
        <v>313</v>
      </c>
      <c r="E22">
        <v>50</v>
      </c>
      <c r="F22">
        <v>140</v>
      </c>
      <c r="G22">
        <v>120</v>
      </c>
      <c r="H22" t="s">
        <v>196</v>
      </c>
      <c r="I22">
        <v>250</v>
      </c>
      <c r="J22" t="s">
        <v>197</v>
      </c>
      <c r="K22">
        <v>17028649</v>
      </c>
      <c r="L22">
        <v>95272</v>
      </c>
      <c r="M22" t="s">
        <v>316</v>
      </c>
      <c r="N22">
        <v>331059960</v>
      </c>
      <c r="O22">
        <v>1</v>
      </c>
      <c r="P22" t="s">
        <v>567</v>
      </c>
      <c r="Q22" t="s">
        <v>567</v>
      </c>
      <c r="R22" t="s">
        <v>199</v>
      </c>
      <c r="S22">
        <v>1431885229</v>
      </c>
    </row>
    <row r="23" spans="1:19" x14ac:dyDescent="0.3">
      <c r="A23">
        <v>921873625</v>
      </c>
      <c r="B23" t="s">
        <v>318</v>
      </c>
      <c r="C23" t="s">
        <v>319</v>
      </c>
      <c r="D23" t="s">
        <v>317</v>
      </c>
      <c r="E23">
        <v>40</v>
      </c>
      <c r="F23">
        <v>150</v>
      </c>
      <c r="G23">
        <v>60</v>
      </c>
      <c r="H23" t="s">
        <v>196</v>
      </c>
      <c r="I23">
        <v>80</v>
      </c>
      <c r="J23" t="s">
        <v>197</v>
      </c>
      <c r="K23">
        <v>17029017</v>
      </c>
      <c r="L23">
        <v>91415</v>
      </c>
      <c r="M23" t="s">
        <v>320</v>
      </c>
      <c r="N23">
        <v>345918018</v>
      </c>
      <c r="O23">
        <v>1</v>
      </c>
      <c r="P23" t="s">
        <v>567</v>
      </c>
      <c r="Q23" t="s">
        <v>567</v>
      </c>
      <c r="R23" t="s">
        <v>199</v>
      </c>
      <c r="S23">
        <v>1462522572</v>
      </c>
    </row>
    <row r="24" spans="1:19" x14ac:dyDescent="0.3">
      <c r="A24">
        <v>921893821</v>
      </c>
      <c r="B24" t="s">
        <v>322</v>
      </c>
      <c r="C24" t="s">
        <v>323</v>
      </c>
      <c r="D24" t="s">
        <v>321</v>
      </c>
      <c r="E24">
        <v>40</v>
      </c>
      <c r="F24">
        <v>150</v>
      </c>
      <c r="G24">
        <v>60</v>
      </c>
      <c r="H24" t="s">
        <v>196</v>
      </c>
      <c r="I24">
        <v>80</v>
      </c>
      <c r="J24" t="s">
        <v>197</v>
      </c>
      <c r="K24">
        <v>17029017</v>
      </c>
      <c r="L24">
        <v>91415</v>
      </c>
      <c r="M24" t="s">
        <v>199</v>
      </c>
      <c r="N24">
        <v>345920133</v>
      </c>
      <c r="O24">
        <v>1</v>
      </c>
      <c r="P24" t="s">
        <v>567</v>
      </c>
      <c r="Q24" t="s">
        <v>567</v>
      </c>
      <c r="R24" t="s">
        <v>199</v>
      </c>
      <c r="S24">
        <v>1462534313</v>
      </c>
    </row>
    <row r="25" spans="1:19" x14ac:dyDescent="0.3">
      <c r="A25">
        <v>921904316</v>
      </c>
      <c r="B25" t="s">
        <v>325</v>
      </c>
      <c r="C25" t="s">
        <v>326</v>
      </c>
      <c r="D25" t="s">
        <v>324</v>
      </c>
      <c r="E25">
        <v>40</v>
      </c>
      <c r="F25">
        <v>100</v>
      </c>
      <c r="G25">
        <v>60</v>
      </c>
      <c r="H25" t="s">
        <v>196</v>
      </c>
      <c r="I25">
        <v>80</v>
      </c>
      <c r="J25" t="s">
        <v>197</v>
      </c>
      <c r="K25">
        <v>17029017</v>
      </c>
      <c r="L25">
        <v>91415</v>
      </c>
      <c r="M25" t="s">
        <v>327</v>
      </c>
      <c r="N25">
        <v>345923455</v>
      </c>
      <c r="O25">
        <v>1</v>
      </c>
      <c r="P25" t="s">
        <v>567</v>
      </c>
      <c r="Q25" t="s">
        <v>567</v>
      </c>
      <c r="R25" t="s">
        <v>199</v>
      </c>
      <c r="S25">
        <v>1462543566</v>
      </c>
    </row>
    <row r="26" spans="1:19" x14ac:dyDescent="0.3">
      <c r="A26">
        <v>1028192644</v>
      </c>
      <c r="B26" t="s">
        <v>329</v>
      </c>
      <c r="C26" t="s">
        <v>330</v>
      </c>
      <c r="D26" t="s">
        <v>328</v>
      </c>
      <c r="E26">
        <v>50</v>
      </c>
      <c r="F26">
        <v>150</v>
      </c>
      <c r="G26">
        <v>150</v>
      </c>
      <c r="H26" t="s">
        <v>196</v>
      </c>
      <c r="I26">
        <v>250</v>
      </c>
      <c r="J26" t="s">
        <v>197</v>
      </c>
      <c r="K26">
        <v>17028649</v>
      </c>
      <c r="L26">
        <v>95272</v>
      </c>
      <c r="M26" t="s">
        <v>331</v>
      </c>
      <c r="N26">
        <v>55652331</v>
      </c>
      <c r="O26">
        <v>1</v>
      </c>
      <c r="P26" t="s">
        <v>567</v>
      </c>
      <c r="Q26" t="s">
        <v>567</v>
      </c>
      <c r="R26" t="s">
        <v>199</v>
      </c>
      <c r="S26">
        <v>1553321016</v>
      </c>
    </row>
    <row r="27" spans="1:19" x14ac:dyDescent="0.3">
      <c r="A27">
        <v>1028193647</v>
      </c>
      <c r="B27" t="s">
        <v>333</v>
      </c>
      <c r="C27" t="s">
        <v>334</v>
      </c>
      <c r="D27" t="s">
        <v>332</v>
      </c>
      <c r="E27">
        <v>50</v>
      </c>
      <c r="F27">
        <v>150</v>
      </c>
      <c r="G27">
        <v>150</v>
      </c>
      <c r="H27" t="s">
        <v>196</v>
      </c>
      <c r="I27">
        <v>250</v>
      </c>
      <c r="J27" t="s">
        <v>197</v>
      </c>
      <c r="K27">
        <v>17028649</v>
      </c>
      <c r="L27">
        <v>95272</v>
      </c>
      <c r="M27" t="s">
        <v>335</v>
      </c>
      <c r="N27">
        <v>371115094</v>
      </c>
      <c r="O27">
        <v>2</v>
      </c>
      <c r="P27" t="s">
        <v>567</v>
      </c>
      <c r="Q27" t="s">
        <v>567</v>
      </c>
      <c r="R27" t="s">
        <v>199</v>
      </c>
      <c r="S27">
        <v>1553321483</v>
      </c>
    </row>
    <row r="28" spans="1:19" x14ac:dyDescent="0.3">
      <c r="A28">
        <v>1028194093</v>
      </c>
      <c r="B28" t="s">
        <v>337</v>
      </c>
      <c r="C28" t="s">
        <v>338</v>
      </c>
      <c r="D28" t="s">
        <v>336</v>
      </c>
      <c r="E28">
        <v>50</v>
      </c>
      <c r="F28">
        <v>150</v>
      </c>
      <c r="G28">
        <v>150</v>
      </c>
      <c r="H28" t="s">
        <v>196</v>
      </c>
      <c r="I28">
        <v>250</v>
      </c>
      <c r="J28" t="s">
        <v>197</v>
      </c>
      <c r="K28">
        <v>17028649</v>
      </c>
      <c r="L28">
        <v>95272</v>
      </c>
      <c r="M28" t="s">
        <v>339</v>
      </c>
      <c r="N28">
        <v>371115094</v>
      </c>
      <c r="O28">
        <v>2</v>
      </c>
      <c r="P28" t="s">
        <v>567</v>
      </c>
      <c r="Q28" t="s">
        <v>567</v>
      </c>
      <c r="R28" t="s">
        <v>199</v>
      </c>
      <c r="S28">
        <v>1553323034</v>
      </c>
    </row>
    <row r="29" spans="1:19" x14ac:dyDescent="0.3">
      <c r="A29">
        <v>1422973930</v>
      </c>
      <c r="B29" t="s">
        <v>341</v>
      </c>
      <c r="C29" t="s">
        <v>342</v>
      </c>
      <c r="D29" t="s">
        <v>340</v>
      </c>
      <c r="E29">
        <v>50</v>
      </c>
      <c r="F29">
        <v>140</v>
      </c>
      <c r="G29">
        <v>120</v>
      </c>
      <c r="H29" t="s">
        <v>196</v>
      </c>
      <c r="I29">
        <v>250</v>
      </c>
      <c r="J29" t="s">
        <v>197</v>
      </c>
      <c r="K29">
        <v>17028649</v>
      </c>
      <c r="L29">
        <v>95272</v>
      </c>
      <c r="M29" t="s">
        <v>223</v>
      </c>
      <c r="N29">
        <v>519821560</v>
      </c>
      <c r="O29">
        <v>1</v>
      </c>
      <c r="P29" t="s">
        <v>567</v>
      </c>
      <c r="Q29" t="s">
        <v>567</v>
      </c>
      <c r="R29" t="s">
        <v>199</v>
      </c>
      <c r="S29">
        <v>1886455617</v>
      </c>
    </row>
    <row r="30" spans="1:19" x14ac:dyDescent="0.3">
      <c r="A30">
        <v>1423128376</v>
      </c>
      <c r="B30" t="s">
        <v>344</v>
      </c>
      <c r="C30" t="s">
        <v>345</v>
      </c>
      <c r="D30" t="s">
        <v>343</v>
      </c>
      <c r="E30">
        <v>50</v>
      </c>
      <c r="F30">
        <v>140</v>
      </c>
      <c r="G30">
        <v>120</v>
      </c>
      <c r="H30" t="s">
        <v>196</v>
      </c>
      <c r="I30">
        <v>250</v>
      </c>
      <c r="J30" t="s">
        <v>197</v>
      </c>
      <c r="K30">
        <v>17028649</v>
      </c>
      <c r="L30">
        <v>95272</v>
      </c>
      <c r="M30" t="s">
        <v>224</v>
      </c>
      <c r="N30">
        <v>519791687</v>
      </c>
      <c r="O30">
        <v>1</v>
      </c>
      <c r="P30" t="s">
        <v>567</v>
      </c>
      <c r="Q30" t="s">
        <v>567</v>
      </c>
      <c r="R30" t="s">
        <v>199</v>
      </c>
      <c r="S30">
        <v>1886577158</v>
      </c>
    </row>
    <row r="31" spans="1:19" x14ac:dyDescent="0.3">
      <c r="A31">
        <v>1423198484</v>
      </c>
      <c r="B31" t="s">
        <v>347</v>
      </c>
      <c r="C31" t="s">
        <v>348</v>
      </c>
      <c r="D31" t="s">
        <v>346</v>
      </c>
      <c r="E31">
        <v>50</v>
      </c>
      <c r="F31">
        <v>140</v>
      </c>
      <c r="G31">
        <v>120</v>
      </c>
      <c r="H31" t="s">
        <v>196</v>
      </c>
      <c r="I31">
        <v>250</v>
      </c>
      <c r="J31" t="s">
        <v>197</v>
      </c>
      <c r="K31">
        <v>17028649</v>
      </c>
      <c r="L31">
        <v>95272</v>
      </c>
      <c r="M31" t="s">
        <v>349</v>
      </c>
      <c r="N31">
        <v>519789197</v>
      </c>
      <c r="O31">
        <v>1</v>
      </c>
      <c r="P31" t="s">
        <v>567</v>
      </c>
      <c r="Q31" t="s">
        <v>567</v>
      </c>
      <c r="R31" t="s">
        <v>199</v>
      </c>
      <c r="S31">
        <v>1886630924</v>
      </c>
    </row>
    <row r="32" spans="1:19" x14ac:dyDescent="0.3">
      <c r="A32">
        <v>1451612729</v>
      </c>
      <c r="B32" t="s">
        <v>351</v>
      </c>
      <c r="C32" t="s">
        <v>66</v>
      </c>
      <c r="D32" t="s">
        <v>350</v>
      </c>
      <c r="E32">
        <v>100</v>
      </c>
      <c r="F32">
        <v>350</v>
      </c>
      <c r="G32">
        <v>80</v>
      </c>
      <c r="H32" t="s">
        <v>196</v>
      </c>
      <c r="I32">
        <v>500</v>
      </c>
      <c r="J32" t="s">
        <v>197</v>
      </c>
      <c r="K32">
        <v>17028973</v>
      </c>
      <c r="L32">
        <v>92843</v>
      </c>
      <c r="M32" t="s">
        <v>352</v>
      </c>
      <c r="N32">
        <v>358633050</v>
      </c>
      <c r="O32">
        <v>23</v>
      </c>
      <c r="P32" t="s">
        <v>567</v>
      </c>
      <c r="Q32" t="s">
        <v>567</v>
      </c>
      <c r="R32" t="s">
        <v>199</v>
      </c>
      <c r="S32">
        <v>1908727434</v>
      </c>
    </row>
    <row r="33" spans="1:19" x14ac:dyDescent="0.3">
      <c r="A33">
        <v>1756940283</v>
      </c>
      <c r="B33" t="s">
        <v>354</v>
      </c>
      <c r="C33" t="s">
        <v>355</v>
      </c>
      <c r="D33" t="s">
        <v>353</v>
      </c>
      <c r="E33">
        <v>90</v>
      </c>
      <c r="F33">
        <v>300</v>
      </c>
      <c r="G33">
        <v>80</v>
      </c>
      <c r="H33" t="s">
        <v>196</v>
      </c>
      <c r="I33">
        <v>400</v>
      </c>
      <c r="J33" t="s">
        <v>197</v>
      </c>
      <c r="K33">
        <v>17028973</v>
      </c>
      <c r="L33">
        <v>92843</v>
      </c>
      <c r="M33" t="s">
        <v>356</v>
      </c>
      <c r="N33">
        <v>572160630</v>
      </c>
      <c r="O33">
        <v>1</v>
      </c>
      <c r="P33" t="s">
        <v>567</v>
      </c>
      <c r="Q33" t="s">
        <v>567</v>
      </c>
      <c r="R33" t="s">
        <v>199</v>
      </c>
      <c r="S33">
        <v>2127752917</v>
      </c>
    </row>
    <row r="34" spans="1:19" x14ac:dyDescent="0.3">
      <c r="A34">
        <v>1757085396</v>
      </c>
      <c r="B34" t="s">
        <v>250</v>
      </c>
      <c r="C34" t="s">
        <v>601</v>
      </c>
      <c r="D34" t="s">
        <v>177</v>
      </c>
      <c r="E34">
        <v>100</v>
      </c>
      <c r="F34">
        <v>300</v>
      </c>
      <c r="G34">
        <v>500</v>
      </c>
      <c r="H34" t="s">
        <v>196</v>
      </c>
      <c r="I34">
        <v>1000</v>
      </c>
      <c r="J34" t="s">
        <v>197</v>
      </c>
      <c r="K34">
        <v>17028946</v>
      </c>
      <c r="L34">
        <v>94715</v>
      </c>
      <c r="M34" t="s">
        <v>602</v>
      </c>
      <c r="N34">
        <v>572219835</v>
      </c>
      <c r="O34">
        <v>1</v>
      </c>
      <c r="P34" t="s">
        <v>567</v>
      </c>
      <c r="Q34" t="s">
        <v>567</v>
      </c>
      <c r="R34" t="s">
        <v>199</v>
      </c>
      <c r="S34">
        <v>2127867944</v>
      </c>
    </row>
    <row r="35" spans="1:19" x14ac:dyDescent="0.3">
      <c r="A35">
        <v>2327546092</v>
      </c>
      <c r="B35" t="s">
        <v>608</v>
      </c>
      <c r="C35" t="s">
        <v>609</v>
      </c>
      <c r="D35" t="s">
        <v>607</v>
      </c>
      <c r="E35">
        <v>140</v>
      </c>
      <c r="F35">
        <v>450</v>
      </c>
      <c r="G35">
        <v>230</v>
      </c>
      <c r="H35" t="s">
        <v>196</v>
      </c>
      <c r="I35">
        <v>3500</v>
      </c>
      <c r="J35" t="s">
        <v>197</v>
      </c>
      <c r="K35">
        <v>17028921</v>
      </c>
      <c r="L35">
        <v>96851</v>
      </c>
      <c r="M35" t="s">
        <v>610</v>
      </c>
      <c r="N35">
        <v>391994482</v>
      </c>
      <c r="O35">
        <v>1</v>
      </c>
      <c r="P35" t="s">
        <v>567</v>
      </c>
      <c r="Q35" t="s">
        <v>567</v>
      </c>
      <c r="R35" t="s">
        <v>199</v>
      </c>
      <c r="S35">
        <v>2576060673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52D148-A2C8-4DB9-87BE-E61D7E9C54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</vt:i4>
      </vt:variant>
    </vt:vector>
  </HeadingPairs>
  <TitlesOfParts>
    <vt:vector size="16" baseType="lpstr">
      <vt:lpstr>История закупоку BUYER</vt:lpstr>
      <vt:lpstr>BUYER доставка</vt:lpstr>
      <vt:lpstr>Список товаров</vt:lpstr>
      <vt:lpstr>Обновление цен</vt:lpstr>
      <vt:lpstr>Курсы_валют</vt:lpstr>
      <vt:lpstr>Остатки Ozon Полная</vt:lpstr>
      <vt:lpstr>Стоимости товаров OZON</vt:lpstr>
      <vt:lpstr>Дата минимальной цены</vt:lpstr>
      <vt:lpstr>Обновить цену все</vt:lpstr>
      <vt:lpstr>Обновить нашу цену</vt:lpstr>
      <vt:lpstr>Обновить минимальную цену</vt:lpstr>
      <vt:lpstr>Артикула товаров</vt:lpstr>
      <vt:lpstr>Артикула товаров архив</vt:lpstr>
      <vt:lpstr>Характеристики_товаров</vt:lpstr>
      <vt:lpstr>Характеристики_товаров архив</vt:lpstr>
      <vt:lpstr>'Обновить нашу цену'!ExternalData_2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Lana</dc:creator>
  <cp:lastModifiedBy>FX</cp:lastModifiedBy>
  <cp:revision>5</cp:revision>
  <dcterms:created xsi:type="dcterms:W3CDTF">2024-05-03T09:48:46Z</dcterms:created>
  <dcterms:modified xsi:type="dcterms:W3CDTF">2025-11-09T12:31:38Z</dcterms:modified>
</cp:coreProperties>
</file>